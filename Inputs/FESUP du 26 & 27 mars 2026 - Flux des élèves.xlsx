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/>
  <mc:AlternateContent xmlns:mc="http://schemas.openxmlformats.org/markup-compatibility/2006">
    <mc:Choice Requires="x15">
      <x15ac:absPath xmlns:x15ac="http://schemas.microsoft.com/office/spreadsheetml/2010/11/ac" url="S:\Ecoles\TélécomSE\Recrutement\Recrutement 2026\FESUP\"/>
    </mc:Choice>
  </mc:AlternateContent>
  <xr:revisionPtr revIDLastSave="0" documentId="8_{2B28921E-8A47-4A8D-9E46-88E59A4B8891}" xr6:coauthVersionLast="36" xr6:coauthVersionMax="36" xr10:uidLastSave="{00000000-0000-0000-0000-000000000000}"/>
  <bookViews>
    <workbookView xWindow="0" yWindow="0" windowWidth="28800" windowHeight="10820" activeTab="1" xr2:uid="{00000000-000D-0000-FFFF-FFFF00000000}"/>
  </bookViews>
  <sheets>
    <sheet name="Réponses au formulaire 1" sheetId="1" r:id="rId1"/>
    <sheet name="Flux par demie journée" sheetId="2" r:id="rId2"/>
    <sheet name="Feuil1" sheetId="3" r:id="rId3"/>
  </sheets>
  <definedNames>
    <definedName name="_xlnm._FilterDatabase" localSheetId="1" hidden="1">'Flux par demie journée'!$A$3:$D$35</definedName>
    <definedName name="_xlnm._FilterDatabase" localSheetId="0" hidden="1">'Réponses au formulaire 1'!$A$1:$Z$26</definedName>
    <definedName name="_xlnm.Print_Area" localSheetId="1">'Flux par demie journée'!$A$1:$K$37</definedName>
  </definedNames>
  <calcPr calcId="191029"/>
</workbook>
</file>

<file path=xl/calcChain.xml><?xml version="1.0" encoding="utf-8"?>
<calcChain xmlns="http://schemas.openxmlformats.org/spreadsheetml/2006/main">
  <c r="P6" i="3" l="1"/>
  <c r="R6" i="3" s="1"/>
  <c r="Q6" i="3"/>
  <c r="T6" i="3"/>
  <c r="P7" i="3"/>
  <c r="S7" i="3" s="1"/>
  <c r="P9" i="3"/>
  <c r="R9" i="3" s="1"/>
  <c r="Q9" i="3"/>
  <c r="P12" i="3"/>
  <c r="R12" i="3" s="1"/>
  <c r="Q13" i="3"/>
  <c r="P14" i="3"/>
  <c r="R14" i="3" s="1"/>
  <c r="Q14" i="3"/>
  <c r="Q16" i="3"/>
  <c r="P20" i="3"/>
  <c r="R20" i="3" s="1"/>
  <c r="Q20" i="3"/>
  <c r="P21" i="3"/>
  <c r="T21" i="3" s="1"/>
  <c r="Q21" i="3"/>
  <c r="R21" i="3"/>
  <c r="S21" i="3"/>
  <c r="P23" i="3"/>
  <c r="S23" i="3" s="1"/>
  <c r="Q23" i="3"/>
  <c r="P24" i="3"/>
  <c r="R24" i="3" s="1"/>
  <c r="Q26" i="3"/>
  <c r="P28" i="3"/>
  <c r="R28" i="3" s="1"/>
  <c r="Q28" i="3"/>
  <c r="P30" i="3"/>
  <c r="R30" i="3" s="1"/>
  <c r="Q30" i="3"/>
  <c r="S30" i="3"/>
  <c r="N6" i="3"/>
  <c r="N7" i="3"/>
  <c r="Q7" i="3" s="1"/>
  <c r="N8" i="3"/>
  <c r="P8" i="3" s="1"/>
  <c r="N9" i="3"/>
  <c r="N10" i="3"/>
  <c r="P10" i="3" s="1"/>
  <c r="N11" i="3"/>
  <c r="P11" i="3" s="1"/>
  <c r="N12" i="3"/>
  <c r="Q12" i="3" s="1"/>
  <c r="N13" i="3"/>
  <c r="P13" i="3" s="1"/>
  <c r="N14" i="3"/>
  <c r="N15" i="3"/>
  <c r="P15" i="3" s="1"/>
  <c r="S15" i="3" s="1"/>
  <c r="N16" i="3"/>
  <c r="P16" i="3" s="1"/>
  <c r="N17" i="3"/>
  <c r="P17" i="3" s="1"/>
  <c r="R17" i="3" s="1"/>
  <c r="N18" i="3"/>
  <c r="P18" i="3" s="1"/>
  <c r="N19" i="3"/>
  <c r="P19" i="3" s="1"/>
  <c r="N20" i="3"/>
  <c r="N21" i="3"/>
  <c r="N22" i="3"/>
  <c r="P22" i="3" s="1"/>
  <c r="N23" i="3"/>
  <c r="N24" i="3"/>
  <c r="Q24" i="3" s="1"/>
  <c r="N25" i="3"/>
  <c r="P25" i="3" s="1"/>
  <c r="R25" i="3" s="1"/>
  <c r="N26" i="3"/>
  <c r="P26" i="3" s="1"/>
  <c r="N27" i="3"/>
  <c r="P27" i="3" s="1"/>
  <c r="N28" i="3"/>
  <c r="N29" i="3"/>
  <c r="P29" i="3" s="1"/>
  <c r="N30" i="3"/>
  <c r="N31" i="3"/>
  <c r="P31" i="3" s="1"/>
  <c r="S31" i="3" s="1"/>
  <c r="N32" i="3"/>
  <c r="P32" i="3" s="1"/>
  <c r="N33" i="3"/>
  <c r="P33" i="3" s="1"/>
  <c r="R33" i="3" s="1"/>
  <c r="N34" i="3"/>
  <c r="P34" i="3" s="1"/>
  <c r="N5" i="3"/>
  <c r="Q5" i="3" s="1"/>
  <c r="M35" i="3"/>
  <c r="G35" i="3"/>
  <c r="T16" i="3" l="1"/>
  <c r="R16" i="3"/>
  <c r="S16" i="3"/>
  <c r="R27" i="3"/>
  <c r="S27" i="3"/>
  <c r="T27" i="3"/>
  <c r="R32" i="3"/>
  <c r="S32" i="3"/>
  <c r="T32" i="3"/>
  <c r="R19" i="3"/>
  <c r="S19" i="3"/>
  <c r="T19" i="3"/>
  <c r="R11" i="3"/>
  <c r="S11" i="3"/>
  <c r="T11" i="3"/>
  <c r="T34" i="3"/>
  <c r="R34" i="3"/>
  <c r="T26" i="3"/>
  <c r="R26" i="3"/>
  <c r="T18" i="3"/>
  <c r="R18" i="3"/>
  <c r="T10" i="3"/>
  <c r="R10" i="3"/>
  <c r="R8" i="3"/>
  <c r="S8" i="3"/>
  <c r="T8" i="3"/>
  <c r="R22" i="3"/>
  <c r="S22" i="3"/>
  <c r="T22" i="3"/>
  <c r="R29" i="3"/>
  <c r="S29" i="3"/>
  <c r="T29" i="3"/>
  <c r="R13" i="3"/>
  <c r="S13" i="3"/>
  <c r="T13" i="3"/>
  <c r="Q19" i="3"/>
  <c r="Q25" i="3"/>
  <c r="Q32" i="3"/>
  <c r="Q18" i="3"/>
  <c r="Q11" i="3"/>
  <c r="Q34" i="3"/>
  <c r="T24" i="3"/>
  <c r="Q15" i="3"/>
  <c r="Q31" i="3"/>
  <c r="Q27" i="3"/>
  <c r="S24" i="3"/>
  <c r="Q22" i="3"/>
  <c r="Q17" i="3"/>
  <c r="Q8" i="3"/>
  <c r="P5" i="3"/>
  <c r="Q33" i="3"/>
  <c r="Q29" i="3"/>
  <c r="T14" i="3"/>
  <c r="Q10" i="3"/>
  <c r="N35" i="3"/>
  <c r="T30" i="3"/>
  <c r="S14" i="3"/>
  <c r="S34" i="3"/>
  <c r="R31" i="3"/>
  <c r="S26" i="3"/>
  <c r="R23" i="3"/>
  <c r="S18" i="3"/>
  <c r="R15" i="3"/>
  <c r="S10" i="3"/>
  <c r="R7" i="3"/>
  <c r="T33" i="3"/>
  <c r="T25" i="3"/>
  <c r="T17" i="3"/>
  <c r="T9" i="3"/>
  <c r="S6" i="3"/>
  <c r="S33" i="3"/>
  <c r="T28" i="3"/>
  <c r="S25" i="3"/>
  <c r="T20" i="3"/>
  <c r="S17" i="3"/>
  <c r="T12" i="3"/>
  <c r="S9" i="3"/>
  <c r="T31" i="3"/>
  <c r="S28" i="3"/>
  <c r="T23" i="3"/>
  <c r="S20" i="3"/>
  <c r="T15" i="3"/>
  <c r="S12" i="3"/>
  <c r="T7" i="3"/>
  <c r="H20" i="2"/>
  <c r="H16" i="2"/>
  <c r="H11" i="2"/>
  <c r="H7" i="2"/>
  <c r="C35" i="2"/>
  <c r="D35" i="2" s="1"/>
  <c r="C28" i="2"/>
  <c r="B28" i="2"/>
  <c r="B35" i="2"/>
  <c r="B37" i="2" s="1"/>
  <c r="C32" i="2"/>
  <c r="B32" i="2"/>
  <c r="D32" i="2" s="1"/>
  <c r="C24" i="2"/>
  <c r="B24" i="2"/>
  <c r="C21" i="2"/>
  <c r="B21" i="2"/>
  <c r="C12" i="2"/>
  <c r="B12" i="2"/>
  <c r="C17" i="2"/>
  <c r="B17" i="2"/>
  <c r="D17" i="2" s="1"/>
  <c r="C8" i="2"/>
  <c r="B8" i="2"/>
  <c r="D8" i="2" s="1"/>
  <c r="G26" i="1"/>
  <c r="F26" i="1"/>
  <c r="T5" i="3" l="1"/>
  <c r="S5" i="3"/>
  <c r="R5" i="3"/>
  <c r="C37" i="2"/>
  <c r="E26" i="1"/>
  <c r="D21" i="2"/>
  <c r="D24" i="2"/>
  <c r="D12" i="2"/>
  <c r="D28" i="2"/>
  <c r="D37" i="2" s="1"/>
</calcChain>
</file>

<file path=xl/sharedStrings.xml><?xml version="1.0" encoding="utf-8"?>
<sst xmlns="http://schemas.openxmlformats.org/spreadsheetml/2006/main" count="431" uniqueCount="219">
  <si>
    <t>Nom de l'établissement</t>
  </si>
  <si>
    <t>Adresse mail de l'établissement (ex: 0420027b@ac-lyon.fr)</t>
  </si>
  <si>
    <t>Nom prénom fonction du référent établissement</t>
  </si>
  <si>
    <t>Adresse mail du référent de l'établissement</t>
  </si>
  <si>
    <t>Noms des classes de 1ère qui participent au FESUP (Ex :1GEN1, 1STI2DA...)</t>
  </si>
  <si>
    <t>Nombre d'élèves de baccalauréat général</t>
  </si>
  <si>
    <t>Nombre d'élèves de baccalauréat technique</t>
  </si>
  <si>
    <t>Vœu numéro 1 de présence au FESUP 2026</t>
  </si>
  <si>
    <t>Vœu numéro 2 de présence au FESUP 2026</t>
  </si>
  <si>
    <t>campus agronova précieux</t>
  </si>
  <si>
    <t>epl.montbrison@educagri.fr</t>
  </si>
  <si>
    <t>CLAIRET FABRICE PROFESSEUR PRINCIPAL 1ERE STAV</t>
  </si>
  <si>
    <t>fabrice.clairet01@educagri.fr</t>
  </si>
  <si>
    <t>1STAV</t>
  </si>
  <si>
    <t>Jeudi 26 mars 2025 après midi (de 13h30 à 16h15)</t>
  </si>
  <si>
    <t>Jeudi 26 mars 2025 après midi (de 14h15 à 17h00)</t>
  </si>
  <si>
    <t>Lycée L'Astrée</t>
  </si>
  <si>
    <t>ce.0422132p@ac-lyon.fr</t>
  </si>
  <si>
    <t>Louison Catherine , secrétaire</t>
  </si>
  <si>
    <t>catherine.louison@ac-lyon.fr</t>
  </si>
  <si>
    <t>1°1  1°2  1°3</t>
  </si>
  <si>
    <t>Vendredi 27 mars 2026 après midi (de13h30 à 16h15)</t>
  </si>
  <si>
    <t>Lycée MAURIAC 2</t>
  </si>
  <si>
    <t>0421976v@ac-lyon.fr</t>
  </si>
  <si>
    <t>Davy CAPOSIENA DDF</t>
  </si>
  <si>
    <t>davy.caposiena@ac-lyon.fr</t>
  </si>
  <si>
    <t>1G4, 1G5, 1G6, 1G8, 1T2, 1T4</t>
  </si>
  <si>
    <t xml:space="preserve">Lycée Saint Paul Forez </t>
  </si>
  <si>
    <t>victordelaprade@saintaubrin.fr</t>
  </si>
  <si>
    <t xml:space="preserve">Isabelle COTE </t>
  </si>
  <si>
    <t>richard.cote@free.fr</t>
  </si>
  <si>
    <t>1GEN1-1GN2-1GN3-1STMG</t>
  </si>
  <si>
    <t>Jacob HOLTZER</t>
  </si>
  <si>
    <t>0420014M@ac-lyon.fr</t>
  </si>
  <si>
    <t>BELLEINGUER Charlotte Proviseure adjointe</t>
  </si>
  <si>
    <t>charlotte.belleinguer@ac-lyon.fr</t>
  </si>
  <si>
    <t>1e1.1e2.1e3.1STI2D</t>
  </si>
  <si>
    <t>Jeudi 26 mars 2026 matin (de 8h30 à 11h15)</t>
  </si>
  <si>
    <t>Pas de préférence</t>
  </si>
  <si>
    <t>LGT Étienne Mimard</t>
  </si>
  <si>
    <t>0420046x@ac-lyon.fr</t>
  </si>
  <si>
    <t>Bénédicte LAURAS</t>
  </si>
  <si>
    <t>benedicte.lauras@ac-lyon.fr</t>
  </si>
  <si>
    <t>1GEN1, 1GEN2, 1ST1, 1ST2, 1ST3</t>
  </si>
  <si>
    <t>Jeudi 26 mars 2026 matin (de 9h15 à 12h00)</t>
  </si>
  <si>
    <t>Lycée Jean Monnet</t>
  </si>
  <si>
    <t>ce.0420043u@ac-lyon.fr</t>
  </si>
  <si>
    <t>Dominique Thomas</t>
  </si>
  <si>
    <t>proviseur-adjoint.0420043u@ac-lyon.fr</t>
  </si>
  <si>
    <t>1GEN1,1GEN2,1GEN3,1STMG, 1STD2A</t>
  </si>
  <si>
    <t>Vendredi 27 mars 2026 matin (de 9h15 à 12h00)</t>
  </si>
  <si>
    <t>TEZENAS DU MONTCEL</t>
  </si>
  <si>
    <t>0420979l@ac-lyon.fr</t>
  </si>
  <si>
    <t>ANTONY Annick</t>
  </si>
  <si>
    <t>a.antony@tezenas.org</t>
  </si>
  <si>
    <t>1G1, 1G2, 1STMG1, 1STMG2</t>
  </si>
  <si>
    <t>Vendredi 27 mars 2026 matin (de 8h30 à 11h15)</t>
  </si>
  <si>
    <t>LGT Claude Lebois</t>
  </si>
  <si>
    <t>ce.0420040r@ac-lyon.fr</t>
  </si>
  <si>
    <t>PARRA Patricia</t>
  </si>
  <si>
    <t>patricia.parra@ac-lyon.fr</t>
  </si>
  <si>
    <t>1GEN1, 1GEN2, 1GEN3, 1GEN4, 1GEN5, 1STI2D, 1STMG1, 1STMG2</t>
  </si>
  <si>
    <t>LGT FOREZ</t>
  </si>
  <si>
    <t>ce.0421788r@ac-lyon.fr</t>
  </si>
  <si>
    <t>LAGACHE GERALD PROVISEUR ADJOINT</t>
  </si>
  <si>
    <t>gerald.lagache@ac-lyon.fr</t>
  </si>
  <si>
    <t>1G1, 1G2, 1G3, 1G4, 1G5, 1ST2S1, 1STL2S, 1STMG1, 1STMG2</t>
  </si>
  <si>
    <t>Lycée des Horizons</t>
  </si>
  <si>
    <t>ce.0422284e@ac-lyon.fr</t>
  </si>
  <si>
    <t>BLOCQUAUX Damien</t>
  </si>
  <si>
    <t>damien.blocquaux@ac-lyon.fr</t>
  </si>
  <si>
    <t>1A-STMG, 1D-STI2D, 1B-Générale, 1C-Générale, 1E-Générale, 1F-Générale, 1G-Générale</t>
  </si>
  <si>
    <t>Lycée Georges Brassens</t>
  </si>
  <si>
    <t>0420027b@ac-lyon.fr</t>
  </si>
  <si>
    <t>RAVAT Jean-François DDFPT</t>
  </si>
  <si>
    <t>j-francois.ravat@ac-lyon.fr</t>
  </si>
  <si>
    <t>1GEN1, 1 GEN2, 1 GEN3, 1 GEN4, 1 GEN5, 1 GEN6, 1 STI2D, 1 STMG1, 1 STMG2</t>
  </si>
  <si>
    <t>Lycée MAURIAC 1</t>
  </si>
  <si>
    <t>1G1, 1G2, 1G3, 1G7, 1T1, 1T3</t>
  </si>
  <si>
    <t>Lycée Saint Pierre</t>
  </si>
  <si>
    <t xml:space="preserve">schallier@groupescolairejeanpaul2.fr </t>
  </si>
  <si>
    <t>Samuel Challier CPE</t>
  </si>
  <si>
    <t>2 classes</t>
  </si>
  <si>
    <t>INSTITUTION SAINT PAUL</t>
  </si>
  <si>
    <t>adjoint.lycee@institutionsaintpaul.org</t>
  </si>
  <si>
    <t>De ROSEMONT Chantal (04 77 49 50 93)</t>
  </si>
  <si>
    <t xml:space="preserve">orient@institutionsaintpaul.org </t>
  </si>
  <si>
    <t>5 classes</t>
  </si>
  <si>
    <t>LGT BEAUREGARD</t>
  </si>
  <si>
    <t>0420018S@ac-lyon.fr</t>
  </si>
  <si>
    <t>REY STEPHANIE</t>
  </si>
  <si>
    <t>stephanie.rey@ac-lyon.fr</t>
  </si>
  <si>
    <t>1E1/1E2/1E3/1E4/1E5/1E6/1E7/1STI2D/1STMG1/1STMG2</t>
  </si>
  <si>
    <t>Lycée Mainte Marie la Grand'Grange</t>
  </si>
  <si>
    <t>0421022h@ac-lyon.fr</t>
  </si>
  <si>
    <t>Rudy BRIGNON</t>
  </si>
  <si>
    <t>dirlg@ismgg.fr</t>
  </si>
  <si>
    <t>1GEN1, 1GEN2, 1GEN3 et 1GEN4</t>
  </si>
  <si>
    <t>Lycée Simone Weil</t>
  </si>
  <si>
    <t>ce.0420044v@ac-lyon.fr</t>
  </si>
  <si>
    <t>NOUGOUM Brahim</t>
  </si>
  <si>
    <t>brahim.nougoum@ac-lyon.fr</t>
  </si>
  <si>
    <t>1ere 1; 1ere 2; 1ere 3; 1ere 4; 1ere 5; 1ere 6; 1ere 7; 1ere MG2S; 1ère STMG</t>
  </si>
  <si>
    <t>Vendredi 27 mars 2026 après midi (de 14h15 à 17h00)</t>
  </si>
  <si>
    <t>Lycée Fauriel</t>
  </si>
  <si>
    <t>ce.0420041s@ac-lyon.fr</t>
  </si>
  <si>
    <t>BOUYSSOUX Louis, Proviseur adjoint</t>
  </si>
  <si>
    <t>louis.bouyssoux@ac-lyon.fr</t>
  </si>
  <si>
    <t>1re 1 à 9</t>
  </si>
  <si>
    <t>LYCEE HONORE D'URFE</t>
  </si>
  <si>
    <t>ce.0420042t@ac-lyon.fr</t>
  </si>
  <si>
    <t>CHATEAUNEUF Laura</t>
  </si>
  <si>
    <t>laura.chateauneuf@ac-lyon.fr</t>
  </si>
  <si>
    <t>1G1-1G2-1G3-1G4-1G5-1G6-1G7-1ST2S1-1ST2S2-1ST2S3-1ST2S4-1STL1-1STMG1-1STMG2-1STMG3</t>
  </si>
  <si>
    <t>Lycée St Michel</t>
  </si>
  <si>
    <t>ce.0421021g@ac-lyon.fr</t>
  </si>
  <si>
    <t>Delphien Ramel Responsable Première</t>
  </si>
  <si>
    <t>responsablepremiere@saintmichel-educ.fr</t>
  </si>
  <si>
    <t>1°1, 1°2, 1°3, 1°4, 1°5 et 1°A</t>
  </si>
  <si>
    <t>Lasalle St Etienne</t>
  </si>
  <si>
    <t>0420976H@ac-lyon.fr</t>
  </si>
  <si>
    <t>Denonfoux Marie-Laure directrice de site</t>
  </si>
  <si>
    <t>ml.denonfoux@lasalle42.fr</t>
  </si>
  <si>
    <t>1GEN, 1STI2D</t>
  </si>
  <si>
    <t>LGT Albert Camus</t>
  </si>
  <si>
    <t>0420013L@ac-lyon.fr</t>
  </si>
  <si>
    <t>LEDDA Anthony</t>
  </si>
  <si>
    <t>Anthony.Ledda@ac-lyon.fr</t>
  </si>
  <si>
    <t>1ERE1 1ERE2 1ERE3 1ERE4 1ST2S1 1ST2S2 1STMG</t>
  </si>
  <si>
    <t>Définitif</t>
  </si>
  <si>
    <t>Bac Gen</t>
  </si>
  <si>
    <t>Bac Tec</t>
  </si>
  <si>
    <t>Jeudi matin</t>
  </si>
  <si>
    <t>8h30 9h00</t>
  </si>
  <si>
    <t>9h15 9h45</t>
  </si>
  <si>
    <t>10h00 10h30</t>
  </si>
  <si>
    <t>10h45 11h15</t>
  </si>
  <si>
    <t>11h30 12h00</t>
  </si>
  <si>
    <t>Jeudi après midi</t>
  </si>
  <si>
    <t>13h30 14h00</t>
  </si>
  <si>
    <t>14h15 14h45</t>
  </si>
  <si>
    <t>15h00 15h30</t>
  </si>
  <si>
    <t>15h45 16h15</t>
  </si>
  <si>
    <t>16h30 17h00</t>
  </si>
  <si>
    <t>Vendredi matin</t>
  </si>
  <si>
    <t>Vendredi après midi</t>
  </si>
  <si>
    <t>Nb élèves</t>
  </si>
  <si>
    <t>Jour</t>
  </si>
  <si>
    <t>Horaires</t>
  </si>
  <si>
    <t>Total FESUP 2026</t>
  </si>
  <si>
    <t>FESUP 26 et 27 mars 2026 - Flux des élèves</t>
  </si>
  <si>
    <t>A012</t>
  </si>
  <si>
    <t>A013</t>
  </si>
  <si>
    <t>A016</t>
  </si>
  <si>
    <t>A017</t>
  </si>
  <si>
    <t>A101</t>
  </si>
  <si>
    <t>A115</t>
  </si>
  <si>
    <t>A116</t>
  </si>
  <si>
    <t>J007</t>
  </si>
  <si>
    <t>J008</t>
  </si>
  <si>
    <t>J009</t>
  </si>
  <si>
    <t>J012</t>
  </si>
  <si>
    <t>J020</t>
  </si>
  <si>
    <t>J021</t>
  </si>
  <si>
    <t>J022</t>
  </si>
  <si>
    <t>J106</t>
  </si>
  <si>
    <t>J107</t>
  </si>
  <si>
    <t>J108</t>
  </si>
  <si>
    <t>J109</t>
  </si>
  <si>
    <t>J110</t>
  </si>
  <si>
    <t>J204</t>
  </si>
  <si>
    <t>J013</t>
  </si>
  <si>
    <t>D03</t>
  </si>
  <si>
    <t>Etudes et métiers des arts, de la culture et du design</t>
  </si>
  <si>
    <t>Etudes et métiers du commerce</t>
  </si>
  <si>
    <t>Les études médicales</t>
  </si>
  <si>
    <t>Management économie gestion Licences CPGE</t>
  </si>
  <si>
    <t>Sciences et innovations technologiques BTS BUT</t>
  </si>
  <si>
    <t>Sociologie, sciences de l’éducation, histoire géographie Licences CPGE</t>
  </si>
  <si>
    <t>Etudes et métiers de l’informatique et du numérique</t>
  </si>
  <si>
    <t>Etudes et métiers du droit - Science Po</t>
  </si>
  <si>
    <t>Etudes et métiers du soin et de la santé</t>
  </si>
  <si>
    <t>Etudes et métiers du tourisme et de l’hôtellerie BTS</t>
  </si>
  <si>
    <t>Etudes et métiers de l'habitat et de la construction</t>
  </si>
  <si>
    <t>Sciences et techniques Licence CPGE</t>
  </si>
  <si>
    <t>Etudes et métiers de l’ingénieur</t>
  </si>
  <si>
    <t>Etudes et métiers du management, économie, gestion (BTS/BUT)</t>
  </si>
  <si>
    <t>Etudes et métiers du secteur social</t>
  </si>
  <si>
    <t>Etudes et métiers du sport</t>
  </si>
  <si>
    <t>Lettres et langues Licences CPGE</t>
  </si>
  <si>
    <t>Sciences de la vie, de l’environnement et de l’agronomie BTS BUT</t>
  </si>
  <si>
    <t>Etre étudiant _ Parcoursup</t>
  </si>
  <si>
    <t>Table ronde Etre étudiant en BTS (animation par des étudiants)</t>
  </si>
  <si>
    <t>Table ronde Etre étudiant en BUT (animation par des étudiants)</t>
  </si>
  <si>
    <t>Table ronde Etre étudiant en prépa CPI ou CPGE (animation par des étudiants)</t>
  </si>
  <si>
    <t>Table ronde Etre alternant dans l'enseignement supérieur (animation par des étudiants)</t>
  </si>
  <si>
    <t>Table ronde Etre étudiant en Licences (animation par des étudiants)</t>
  </si>
  <si>
    <t>Table ronde: flash métier "ingénieur" (animation par des professionnels)</t>
  </si>
  <si>
    <t>Table ronde: flash métier "social" (animation par des professionnels)</t>
  </si>
  <si>
    <t>Table ronde: flash métier "commerce" (animation par des professionnels)</t>
  </si>
  <si>
    <t>Table ronde: flash métier "sport" (animation par des professionnels)</t>
  </si>
  <si>
    <t>Table ronde: flash métier "paramédical" (animation par des professionnels)</t>
  </si>
  <si>
    <t>Table ronde: flash métier "design / architecture" (animation par des professionnels)</t>
  </si>
  <si>
    <t>Total vœux  5</t>
  </si>
  <si>
    <t>Total vœux 4</t>
  </si>
  <si>
    <t>Total vœux 3</t>
  </si>
  <si>
    <t>Total vœux 2</t>
  </si>
  <si>
    <t>Total vœux 1</t>
  </si>
  <si>
    <t>Salles 8h30 à 9h00</t>
  </si>
  <si>
    <t>Vague 1</t>
  </si>
  <si>
    <t>Vague 5</t>
  </si>
  <si>
    <t>Salles 11h30 à 12h00</t>
  </si>
  <si>
    <t>Vague 2</t>
  </si>
  <si>
    <t>Salles 9h15 à 9h45</t>
  </si>
  <si>
    <t>Salles 10h00 à 10h30</t>
  </si>
  <si>
    <t>Salles 10h45 à 11h15</t>
  </si>
  <si>
    <t>Total sans vœux 5</t>
  </si>
  <si>
    <t>Total général sans vœux 5</t>
  </si>
  <si>
    <t>Répétition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</si>
</sst>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3"/>
      <color rgb="FF000000"/>
      <name val="Arial"/>
    </font>
    <font>
      <sz val="12"/>
      <color theme="1"/>
      <name val="Arial"/>
    </font>
    <font>
      <sz val="12"/>
      <color rgb="FF000000"/>
      <name val="Arial"/>
    </font>
    <font>
      <sz val="11"/>
      <color rgb="FF000000"/>
      <name val="Arial"/>
    </font>
    <font>
      <b/>
      <sz val="12"/>
      <color theme="1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  <scheme val="minor"/>
    </font>
    <font>
      <b/>
      <sz val="28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6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 applyFont="1" applyAlignment="1"/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3" borderId="0" xfId="0" applyFont="1" applyFill="1"/>
    <xf numFmtId="0" fontId="5" fillId="3" borderId="0" xfId="0" applyFont="1" applyFill="1" applyAlignment="1">
      <alignment vertical="center"/>
    </xf>
    <xf numFmtId="0" fontId="6" fillId="0" borderId="0" xfId="0" applyFont="1"/>
    <xf numFmtId="0" fontId="5" fillId="4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0" fillId="0" borderId="0" xfId="0" applyFont="1"/>
    <xf numFmtId="0" fontId="4" fillId="0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vertical="center"/>
    </xf>
    <xf numFmtId="0" fontId="13" fillId="0" borderId="2" xfId="0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10" fillId="0" borderId="2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17" fillId="0" borderId="0" xfId="0" applyFont="1" applyAlignment="1"/>
    <xf numFmtId="0" fontId="17" fillId="10" borderId="2" xfId="0" applyFont="1" applyFill="1" applyBorder="1" applyAlignment="1">
      <alignment horizontal="center"/>
    </xf>
    <xf numFmtId="0" fontId="17" fillId="10" borderId="8" xfId="0" applyFont="1" applyFill="1" applyBorder="1" applyAlignment="1">
      <alignment horizontal="center"/>
    </xf>
    <xf numFmtId="0" fontId="17" fillId="0" borderId="1" xfId="0" applyFont="1" applyBorder="1" applyAlignment="1"/>
    <xf numFmtId="0" fontId="17" fillId="0" borderId="2" xfId="0" applyFont="1" applyFill="1" applyBorder="1" applyAlignment="1"/>
    <xf numFmtId="0" fontId="17" fillId="0" borderId="1" xfId="0" applyFont="1" applyFill="1" applyBorder="1" applyAlignment="1"/>
    <xf numFmtId="0" fontId="17" fillId="11" borderId="9" xfId="0" applyFont="1" applyFill="1" applyBorder="1" applyAlignment="1">
      <alignment horizontal="center"/>
    </xf>
    <xf numFmtId="0" fontId="17" fillId="11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 textRotation="90" wrapText="1"/>
    </xf>
    <xf numFmtId="0" fontId="15" fillId="10" borderId="2" xfId="0" applyFont="1" applyFill="1" applyBorder="1" applyAlignment="1">
      <alignment horizontal="center" wrapText="1"/>
    </xf>
    <xf numFmtId="0" fontId="16" fillId="10" borderId="2" xfId="0" applyFont="1" applyFill="1" applyBorder="1" applyAlignment="1">
      <alignment horizontal="center" wrapText="1"/>
    </xf>
    <xf numFmtId="0" fontId="0" fillId="0" borderId="1" xfId="0" applyFont="1" applyBorder="1" applyAlignment="1"/>
    <xf numFmtId="0" fontId="15" fillId="0" borderId="10" xfId="0" applyFont="1" applyFill="1" applyBorder="1" applyAlignment="1">
      <alignment horizontal="center" wrapText="1"/>
    </xf>
    <xf numFmtId="0" fontId="1" fillId="11" borderId="2" xfId="0" applyFont="1" applyFill="1" applyBorder="1" applyAlignment="1">
      <alignment horizontal="center" textRotation="90" wrapText="1"/>
    </xf>
    <xf numFmtId="0" fontId="15" fillId="11" borderId="2" xfId="0" applyFont="1" applyFill="1" applyBorder="1" applyAlignment="1">
      <alignment horizontal="center" wrapText="1"/>
    </xf>
    <xf numFmtId="0" fontId="16" fillId="11" borderId="2" xfId="0" applyFont="1" applyFill="1" applyBorder="1" applyAlignment="1">
      <alignment horizontal="center" wrapText="1"/>
    </xf>
    <xf numFmtId="0" fontId="1" fillId="12" borderId="2" xfId="0" applyFont="1" applyFill="1" applyBorder="1" applyAlignment="1">
      <alignment horizontal="center" textRotation="90" wrapText="1"/>
    </xf>
    <xf numFmtId="0" fontId="15" fillId="12" borderId="2" xfId="0" applyFont="1" applyFill="1" applyBorder="1" applyAlignment="1">
      <alignment horizontal="center" wrapText="1"/>
    </xf>
    <xf numFmtId="0" fontId="16" fillId="12" borderId="2" xfId="0" applyFont="1" applyFill="1" applyBorder="1" applyAlignment="1">
      <alignment horizont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7" fillId="0" borderId="2" xfId="0" applyFont="1" applyBorder="1" applyAlignment="1"/>
    <xf numFmtId="0" fontId="17" fillId="9" borderId="2" xfId="0" applyFont="1" applyFill="1" applyBorder="1" applyAlignment="1"/>
    <xf numFmtId="0" fontId="0" fillId="0" borderId="2" xfId="0" applyFont="1" applyBorder="1" applyAlignment="1"/>
    <xf numFmtId="0" fontId="17" fillId="0" borderId="7" xfId="0" applyFont="1" applyFill="1" applyBorder="1" applyAlignment="1"/>
    <xf numFmtId="0" fontId="0" fillId="0" borderId="2" xfId="0" applyFont="1" applyFill="1" applyBorder="1" applyAlignment="1"/>
    <xf numFmtId="0" fontId="17" fillId="0" borderId="1" xfId="0" applyFont="1" applyFill="1" applyBorder="1" applyAlignment="1">
      <alignment horizontal="center" textRotation="90" wrapText="1"/>
    </xf>
    <xf numFmtId="1" fontId="17" fillId="7" borderId="2" xfId="0" applyNumberFormat="1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4" fillId="8" borderId="3" xfId="0" applyFont="1" applyFill="1" applyBorder="1" applyAlignment="1">
      <alignment horizontal="center"/>
    </xf>
    <xf numFmtId="0" fontId="14" fillId="8" borderId="4" xfId="0" applyFont="1" applyFill="1" applyBorder="1" applyAlignment="1">
      <alignment horizontal="center"/>
    </xf>
    <xf numFmtId="0" fontId="14" fillId="8" borderId="5" xfId="0" applyFont="1" applyFill="1" applyBorder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18" fillId="11" borderId="2" xfId="0" applyFont="1" applyFill="1" applyBorder="1" applyAlignment="1">
      <alignment horizontal="center"/>
    </xf>
    <xf numFmtId="0" fontId="0" fillId="11" borderId="2" xfId="0" applyFont="1" applyFill="1" applyBorder="1" applyAlignment="1">
      <alignment horizontal="center"/>
    </xf>
    <xf numFmtId="0" fontId="17" fillId="10" borderId="12" xfId="0" applyFont="1" applyFill="1" applyBorder="1" applyAlignment="1">
      <alignment horizontal="center" textRotation="90"/>
    </xf>
    <xf numFmtId="0" fontId="17" fillId="10" borderId="7" xfId="0" applyFont="1" applyFill="1" applyBorder="1" applyAlignment="1">
      <alignment horizontal="center" textRotation="90"/>
    </xf>
    <xf numFmtId="0" fontId="17" fillId="10" borderId="13" xfId="0" applyFont="1" applyFill="1" applyBorder="1" applyAlignment="1">
      <alignment horizontal="center" textRotation="90"/>
    </xf>
    <xf numFmtId="0" fontId="17" fillId="11" borderId="12" xfId="0" applyFont="1" applyFill="1" applyBorder="1" applyAlignment="1">
      <alignment horizontal="center" textRotation="90"/>
    </xf>
    <xf numFmtId="0" fontId="17" fillId="11" borderId="7" xfId="0" applyFont="1" applyFill="1" applyBorder="1" applyAlignment="1">
      <alignment horizontal="center" textRotation="90"/>
    </xf>
    <xf numFmtId="0" fontId="17" fillId="11" borderId="13" xfId="0" applyFont="1" applyFill="1" applyBorder="1" applyAlignment="1">
      <alignment horizontal="center" textRotation="90"/>
    </xf>
    <xf numFmtId="0" fontId="17" fillId="12" borderId="12" xfId="0" applyFont="1" applyFill="1" applyBorder="1" applyAlignment="1">
      <alignment horizontal="center" textRotation="90" wrapText="1"/>
    </xf>
    <xf numFmtId="0" fontId="17" fillId="12" borderId="7" xfId="0" applyFont="1" applyFill="1" applyBorder="1" applyAlignment="1">
      <alignment horizontal="center" textRotation="90" wrapText="1"/>
    </xf>
    <xf numFmtId="0" fontId="17" fillId="12" borderId="13" xfId="0" applyFont="1" applyFill="1" applyBorder="1" applyAlignment="1">
      <alignment horizontal="center" textRotation="90" wrapText="1"/>
    </xf>
    <xf numFmtId="0" fontId="17" fillId="7" borderId="2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/>
    </xf>
    <xf numFmtId="0" fontId="0" fillId="12" borderId="2" xfId="0" applyFont="1" applyFill="1" applyBorder="1" applyAlignment="1">
      <alignment horizontal="center"/>
    </xf>
    <xf numFmtId="0" fontId="17" fillId="10" borderId="8" xfId="0" applyFont="1" applyFill="1" applyBorder="1" applyAlignment="1">
      <alignment horizontal="center" textRotation="90"/>
    </xf>
    <xf numFmtId="0" fontId="17" fillId="11" borderId="9" xfId="0" applyFont="1" applyFill="1" applyBorder="1" applyAlignment="1">
      <alignment horizontal="center" textRotation="90"/>
    </xf>
    <xf numFmtId="0" fontId="17" fillId="11" borderId="2" xfId="0" applyFont="1" applyFill="1" applyBorder="1" applyAlignment="1">
      <alignment horizontal="center" textRotation="90"/>
    </xf>
    <xf numFmtId="0" fontId="17" fillId="10" borderId="2" xfId="0" applyFont="1" applyFill="1" applyBorder="1" applyAlignment="1">
      <alignment horizontal="center" textRotation="90"/>
    </xf>
    <xf numFmtId="0" fontId="18" fillId="10" borderId="2" xfId="0" applyFont="1" applyFill="1" applyBorder="1" applyAlignment="1">
      <alignment horizontal="center"/>
    </xf>
    <xf numFmtId="0" fontId="0" fillId="1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4"/>
  <sheetViews>
    <sheetView topLeftCell="A19" workbookViewId="0"/>
  </sheetViews>
  <sheetFormatPr baseColWidth="10" defaultColWidth="12.54296875" defaultRowHeight="15" customHeight="1" x14ac:dyDescent="0.25"/>
  <cols>
    <col min="1" max="1" width="22.453125" customWidth="1"/>
    <col min="2" max="3" width="37.54296875" customWidth="1"/>
    <col min="4" max="4" width="36.453125" customWidth="1"/>
    <col min="5" max="5" width="37.54296875" customWidth="1"/>
    <col min="6" max="6" width="7.1796875" customWidth="1"/>
    <col min="7" max="7" width="10.7265625" customWidth="1"/>
    <col min="8" max="8" width="45.453125" customWidth="1"/>
    <col min="9" max="9" width="46.7265625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0</v>
      </c>
      <c r="G2" s="3">
        <v>16</v>
      </c>
      <c r="H2" s="2" t="s">
        <v>14</v>
      </c>
      <c r="I2" s="3" t="s">
        <v>15</v>
      </c>
    </row>
    <row r="3" spans="1:9" ht="22.5" customHeight="1" x14ac:dyDescent="0.2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5">
        <v>80</v>
      </c>
      <c r="G3" s="5">
        <v>0</v>
      </c>
      <c r="H3" s="5" t="s">
        <v>14</v>
      </c>
      <c r="I3" s="4" t="s">
        <v>21</v>
      </c>
    </row>
    <row r="4" spans="1:9" ht="22.5" customHeight="1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3">
        <v>139</v>
      </c>
      <c r="G4" s="3">
        <v>61</v>
      </c>
      <c r="H4" s="3" t="s">
        <v>14</v>
      </c>
      <c r="I4" s="2" t="s">
        <v>15</v>
      </c>
    </row>
    <row r="5" spans="1:9" ht="22.5" customHeight="1" x14ac:dyDescent="0.25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5">
        <v>90</v>
      </c>
      <c r="G5" s="5">
        <v>22</v>
      </c>
      <c r="H5" s="5" t="s">
        <v>14</v>
      </c>
      <c r="I5" s="4" t="s">
        <v>15</v>
      </c>
    </row>
    <row r="6" spans="1:9" ht="22.5" customHeight="1" x14ac:dyDescent="0.2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3">
        <v>88</v>
      </c>
      <c r="G6" s="3">
        <v>18</v>
      </c>
      <c r="H6" s="3" t="s">
        <v>37</v>
      </c>
      <c r="I6" s="2" t="s">
        <v>38</v>
      </c>
    </row>
    <row r="7" spans="1:9" ht="22.5" customHeight="1" x14ac:dyDescent="0.25">
      <c r="A7" s="4" t="s">
        <v>39</v>
      </c>
      <c r="B7" s="4" t="s">
        <v>40</v>
      </c>
      <c r="C7" s="4" t="s">
        <v>41</v>
      </c>
      <c r="D7" s="4" t="s">
        <v>42</v>
      </c>
      <c r="E7" s="4" t="s">
        <v>43</v>
      </c>
      <c r="F7" s="5">
        <v>59</v>
      </c>
      <c r="G7" s="5">
        <v>98</v>
      </c>
      <c r="H7" s="5" t="s">
        <v>37</v>
      </c>
      <c r="I7" s="4" t="s">
        <v>44</v>
      </c>
    </row>
    <row r="8" spans="1:9" ht="22.5" customHeight="1" x14ac:dyDescent="0.2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3">
        <v>105</v>
      </c>
      <c r="G8" s="3">
        <v>66</v>
      </c>
      <c r="H8" s="2" t="s">
        <v>37</v>
      </c>
      <c r="I8" s="2" t="s">
        <v>50</v>
      </c>
    </row>
    <row r="9" spans="1:9" ht="22.5" customHeight="1" x14ac:dyDescent="0.25">
      <c r="A9" s="4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5">
        <v>57</v>
      </c>
      <c r="G9" s="5">
        <v>50</v>
      </c>
      <c r="H9" s="5" t="s">
        <v>37</v>
      </c>
      <c r="I9" s="4" t="s">
        <v>56</v>
      </c>
    </row>
    <row r="10" spans="1:9" ht="22.5" customHeight="1" x14ac:dyDescent="0.2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3">
        <v>174</v>
      </c>
      <c r="G10" s="3">
        <v>89</v>
      </c>
      <c r="H10" s="3" t="s">
        <v>44</v>
      </c>
      <c r="I10" s="2" t="s">
        <v>50</v>
      </c>
    </row>
    <row r="11" spans="1:9" ht="22.5" customHeight="1" x14ac:dyDescent="0.25">
      <c r="A11" s="4" t="s">
        <v>62</v>
      </c>
      <c r="B11" s="4" t="s">
        <v>63</v>
      </c>
      <c r="C11" s="4" t="s">
        <v>64</v>
      </c>
      <c r="D11" s="4" t="s">
        <v>65</v>
      </c>
      <c r="E11" s="4" t="s">
        <v>66</v>
      </c>
      <c r="F11" s="5">
        <v>165</v>
      </c>
      <c r="G11" s="5">
        <v>103</v>
      </c>
      <c r="H11" s="4" t="s">
        <v>44</v>
      </c>
      <c r="I11" s="4" t="s">
        <v>50</v>
      </c>
    </row>
    <row r="12" spans="1:9" ht="22.5" customHeight="1" x14ac:dyDescent="0.2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3">
        <v>144</v>
      </c>
      <c r="G12" s="3">
        <v>63</v>
      </c>
      <c r="H12" s="2" t="s">
        <v>44</v>
      </c>
      <c r="I12" s="2" t="s">
        <v>21</v>
      </c>
    </row>
    <row r="13" spans="1:9" ht="22.5" customHeight="1" x14ac:dyDescent="0.25">
      <c r="A13" s="4" t="s">
        <v>72</v>
      </c>
      <c r="B13" s="4" t="s">
        <v>73</v>
      </c>
      <c r="C13" s="4" t="s">
        <v>74</v>
      </c>
      <c r="D13" s="4" t="s">
        <v>75</v>
      </c>
      <c r="E13" s="4" t="s">
        <v>76</v>
      </c>
      <c r="F13" s="4"/>
      <c r="G13" s="4"/>
      <c r="H13" s="4" t="s">
        <v>44</v>
      </c>
      <c r="I13" s="4" t="s">
        <v>50</v>
      </c>
    </row>
    <row r="14" spans="1:9" ht="22.5" customHeight="1" x14ac:dyDescent="0.25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>
        <v>190</v>
      </c>
      <c r="G14" s="2">
        <v>96</v>
      </c>
      <c r="H14" s="2" t="s">
        <v>44</v>
      </c>
      <c r="I14" s="2" t="s">
        <v>50</v>
      </c>
    </row>
    <row r="15" spans="1:9" ht="22.5" customHeight="1" x14ac:dyDescent="0.25">
      <c r="A15" s="4" t="s">
        <v>77</v>
      </c>
      <c r="B15" s="4" t="s">
        <v>23</v>
      </c>
      <c r="C15" s="4" t="s">
        <v>24</v>
      </c>
      <c r="D15" s="4" t="s">
        <v>25</v>
      </c>
      <c r="E15" s="4" t="s">
        <v>78</v>
      </c>
      <c r="F15" s="5">
        <v>139</v>
      </c>
      <c r="G15" s="5">
        <v>61</v>
      </c>
      <c r="H15" s="5" t="s">
        <v>44</v>
      </c>
      <c r="I15" s="4" t="s">
        <v>44</v>
      </c>
    </row>
    <row r="16" spans="1:9" ht="22.5" customHeight="1" x14ac:dyDescent="0.25">
      <c r="A16" s="2" t="s">
        <v>79</v>
      </c>
      <c r="B16" s="2" t="s">
        <v>80</v>
      </c>
      <c r="C16" s="2" t="s">
        <v>81</v>
      </c>
      <c r="D16" s="2" t="s">
        <v>80</v>
      </c>
      <c r="E16" s="2" t="s">
        <v>82</v>
      </c>
      <c r="F16" s="3">
        <v>46</v>
      </c>
      <c r="G16" s="3">
        <v>0</v>
      </c>
      <c r="H16" s="3" t="s">
        <v>44</v>
      </c>
      <c r="I16" s="2" t="s">
        <v>14</v>
      </c>
    </row>
    <row r="17" spans="1:9" ht="22.5" customHeight="1" x14ac:dyDescent="0.25">
      <c r="A17" s="4" t="s">
        <v>83</v>
      </c>
      <c r="B17" s="4" t="s">
        <v>84</v>
      </c>
      <c r="C17" s="4" t="s">
        <v>85</v>
      </c>
      <c r="D17" s="4" t="s">
        <v>86</v>
      </c>
      <c r="E17" s="4" t="s">
        <v>87</v>
      </c>
      <c r="F17" s="5">
        <v>165</v>
      </c>
      <c r="G17" s="5">
        <v>0</v>
      </c>
      <c r="H17" s="5" t="s">
        <v>21</v>
      </c>
      <c r="I17" s="4" t="s">
        <v>21</v>
      </c>
    </row>
    <row r="18" spans="1:9" ht="22.5" customHeight="1" x14ac:dyDescent="0.25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3">
        <v>236</v>
      </c>
      <c r="G18" s="3">
        <v>91</v>
      </c>
      <c r="H18" s="2" t="s">
        <v>21</v>
      </c>
      <c r="I18" s="3" t="s">
        <v>50</v>
      </c>
    </row>
    <row r="19" spans="1:9" ht="22.5" customHeight="1" x14ac:dyDescent="0.25">
      <c r="A19" s="4" t="s">
        <v>93</v>
      </c>
      <c r="B19" s="4" t="s">
        <v>94</v>
      </c>
      <c r="C19" s="4" t="s">
        <v>95</v>
      </c>
      <c r="D19" s="4" t="s">
        <v>96</v>
      </c>
      <c r="E19" s="4" t="s">
        <v>97</v>
      </c>
      <c r="F19" s="5">
        <v>139</v>
      </c>
      <c r="G19" s="5">
        <v>0</v>
      </c>
      <c r="H19" s="5" t="s">
        <v>21</v>
      </c>
      <c r="I19" s="4" t="s">
        <v>14</v>
      </c>
    </row>
    <row r="20" spans="1:9" ht="15.75" customHeight="1" x14ac:dyDescent="0.25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102</v>
      </c>
      <c r="F20" s="3">
        <v>238</v>
      </c>
      <c r="G20" s="3">
        <v>64</v>
      </c>
      <c r="H20" s="2" t="s">
        <v>21</v>
      </c>
      <c r="I20" s="3" t="s">
        <v>103</v>
      </c>
    </row>
    <row r="21" spans="1:9" ht="15.75" customHeight="1" x14ac:dyDescent="0.25">
      <c r="A21" s="4" t="s">
        <v>104</v>
      </c>
      <c r="B21" s="4" t="s">
        <v>105</v>
      </c>
      <c r="C21" s="4" t="s">
        <v>106</v>
      </c>
      <c r="D21" s="4" t="s">
        <v>107</v>
      </c>
      <c r="E21" s="4" t="s">
        <v>108</v>
      </c>
      <c r="F21" s="5">
        <v>272</v>
      </c>
      <c r="G21" s="5">
        <v>34</v>
      </c>
      <c r="H21" s="4" t="s">
        <v>56</v>
      </c>
      <c r="I21" s="5" t="s">
        <v>50</v>
      </c>
    </row>
    <row r="22" spans="1:9" ht="15.75" customHeight="1" x14ac:dyDescent="0.25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3">
        <v>235</v>
      </c>
      <c r="G22" s="3">
        <v>200</v>
      </c>
      <c r="H22" s="3" t="s">
        <v>56</v>
      </c>
      <c r="I22" s="2" t="s">
        <v>50</v>
      </c>
    </row>
    <row r="23" spans="1:9" ht="15.75" customHeight="1" x14ac:dyDescent="0.25">
      <c r="A23" s="4" t="s">
        <v>114</v>
      </c>
      <c r="B23" s="4" t="s">
        <v>115</v>
      </c>
      <c r="C23" s="4" t="s">
        <v>116</v>
      </c>
      <c r="D23" s="4" t="s">
        <v>117</v>
      </c>
      <c r="E23" s="4" t="s">
        <v>118</v>
      </c>
      <c r="F23" s="5">
        <v>176</v>
      </c>
      <c r="G23" s="5">
        <v>24</v>
      </c>
      <c r="H23" s="4" t="s">
        <v>56</v>
      </c>
      <c r="I23" s="5" t="s">
        <v>50</v>
      </c>
    </row>
    <row r="24" spans="1:9" ht="15.75" customHeight="1" x14ac:dyDescent="0.25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123</v>
      </c>
      <c r="F24" s="3">
        <v>36</v>
      </c>
      <c r="G24" s="3">
        <v>12</v>
      </c>
      <c r="H24" s="2" t="s">
        <v>50</v>
      </c>
      <c r="I24" s="3" t="s">
        <v>21</v>
      </c>
    </row>
    <row r="25" spans="1:9" ht="15.75" customHeight="1" x14ac:dyDescent="0.25">
      <c r="A25" s="4" t="s">
        <v>124</v>
      </c>
      <c r="B25" s="4" t="s">
        <v>125</v>
      </c>
      <c r="C25" s="4" t="s">
        <v>126</v>
      </c>
      <c r="D25" s="4" t="s">
        <v>127</v>
      </c>
      <c r="E25" s="4" t="s">
        <v>128</v>
      </c>
      <c r="F25" s="5">
        <v>137</v>
      </c>
      <c r="G25" s="5">
        <v>98</v>
      </c>
      <c r="H25" s="5" t="s">
        <v>50</v>
      </c>
      <c r="I25" s="4" t="s">
        <v>56</v>
      </c>
    </row>
    <row r="26" spans="1:9" ht="15.75" customHeight="1" x14ac:dyDescent="0.25">
      <c r="A26" s="6"/>
      <c r="B26" s="6"/>
      <c r="C26" s="6"/>
      <c r="D26" s="6"/>
      <c r="E26" s="6">
        <f>F26+G26</f>
        <v>4376</v>
      </c>
      <c r="F26" s="6">
        <f t="shared" ref="F26:G26" si="0">SUM(F2:F25)</f>
        <v>3110</v>
      </c>
      <c r="G26" s="6">
        <f t="shared" si="0"/>
        <v>1266</v>
      </c>
      <c r="H26" s="6"/>
      <c r="I26" s="6"/>
    </row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autoFilter ref="A1:Z26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009"/>
  <sheetViews>
    <sheetView tabSelected="1" topLeftCell="A2" workbookViewId="0">
      <selection activeCell="G25" sqref="G25"/>
    </sheetView>
  </sheetViews>
  <sheetFormatPr baseColWidth="10" defaultColWidth="12.54296875" defaultRowHeight="15" customHeight="1" x14ac:dyDescent="0.25"/>
  <cols>
    <col min="1" max="1" width="27.81640625" customWidth="1"/>
    <col min="2" max="2" width="11.453125" style="12" customWidth="1"/>
    <col min="3" max="3" width="17.1796875" style="12" customWidth="1"/>
    <col min="4" max="4" width="56.81640625" customWidth="1"/>
    <col min="7" max="11" width="13.7265625" customWidth="1"/>
  </cols>
  <sheetData>
    <row r="1" spans="1:22" ht="42" customHeight="1" thickBot="1" x14ac:dyDescent="0.75">
      <c r="A1" s="69" t="s">
        <v>150</v>
      </c>
      <c r="B1" s="70"/>
      <c r="C1" s="70"/>
      <c r="D1" s="70"/>
      <c r="E1" s="70"/>
      <c r="F1" s="70"/>
      <c r="G1" s="70"/>
      <c r="H1" s="70"/>
      <c r="I1" s="70"/>
      <c r="J1" s="70"/>
      <c r="K1" s="71"/>
    </row>
    <row r="3" spans="1:22" ht="22.5" customHeight="1" x14ac:dyDescent="0.25">
      <c r="A3" s="37" t="s">
        <v>0</v>
      </c>
      <c r="B3" s="37" t="s">
        <v>130</v>
      </c>
      <c r="C3" s="37" t="s">
        <v>131</v>
      </c>
      <c r="D3" s="37" t="s">
        <v>129</v>
      </c>
      <c r="E3" s="21"/>
    </row>
    <row r="4" spans="1:22" ht="15" customHeight="1" x14ac:dyDescent="0.35">
      <c r="A4" s="24" t="s">
        <v>32</v>
      </c>
      <c r="B4" s="25">
        <v>88</v>
      </c>
      <c r="C4" s="25">
        <v>18</v>
      </c>
      <c r="D4" s="24" t="s">
        <v>37</v>
      </c>
      <c r="E4" s="8"/>
      <c r="F4" s="8"/>
      <c r="G4" s="2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ht="15" customHeight="1" x14ac:dyDescent="0.35">
      <c r="A5" s="26" t="s">
        <v>39</v>
      </c>
      <c r="B5" s="27">
        <v>59</v>
      </c>
      <c r="C5" s="27">
        <v>98</v>
      </c>
      <c r="D5" s="26" t="s">
        <v>37</v>
      </c>
      <c r="E5" s="8"/>
      <c r="F5" s="35" t="s">
        <v>147</v>
      </c>
      <c r="G5" s="68" t="s">
        <v>132</v>
      </c>
      <c r="H5" s="68"/>
      <c r="I5" s="68"/>
      <c r="J5" s="68"/>
      <c r="K5" s="6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15" customHeight="1" x14ac:dyDescent="0.35">
      <c r="A6" s="24" t="s">
        <v>45</v>
      </c>
      <c r="B6" s="25">
        <v>105</v>
      </c>
      <c r="C6" s="25">
        <v>66</v>
      </c>
      <c r="D6" s="24" t="s">
        <v>37</v>
      </c>
      <c r="E6" s="8"/>
      <c r="F6" s="35" t="s">
        <v>148</v>
      </c>
      <c r="G6" s="22" t="s">
        <v>133</v>
      </c>
      <c r="H6" s="22" t="s">
        <v>134</v>
      </c>
      <c r="I6" s="22" t="s">
        <v>135</v>
      </c>
      <c r="J6" s="22" t="s">
        <v>136</v>
      </c>
      <c r="K6" s="22" t="s">
        <v>137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15" customHeight="1" x14ac:dyDescent="0.35">
      <c r="A7" s="26" t="s">
        <v>51</v>
      </c>
      <c r="B7" s="27">
        <v>57</v>
      </c>
      <c r="C7" s="27">
        <v>50</v>
      </c>
      <c r="D7" s="26" t="s">
        <v>37</v>
      </c>
      <c r="E7" s="8"/>
      <c r="F7" s="35" t="s">
        <v>146</v>
      </c>
      <c r="G7" s="23">
        <v>541</v>
      </c>
      <c r="H7" s="23">
        <f>G7+K7</f>
        <v>1055</v>
      </c>
      <c r="I7" s="23">
        <v>1055</v>
      </c>
      <c r="J7" s="23">
        <v>1055</v>
      </c>
      <c r="K7" s="23">
        <v>514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ht="15" customHeight="1" x14ac:dyDescent="0.35">
      <c r="A8" s="9"/>
      <c r="B8" s="11">
        <f>SUM(B4:B7)</f>
        <v>309</v>
      </c>
      <c r="C8" s="11">
        <f>SUM(C4:C7)</f>
        <v>232</v>
      </c>
      <c r="D8" s="13">
        <f>B8+C8</f>
        <v>541</v>
      </c>
      <c r="E8" s="8"/>
      <c r="F8" s="36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ht="15" customHeight="1" x14ac:dyDescent="0.35">
      <c r="A9" s="24" t="s">
        <v>62</v>
      </c>
      <c r="B9" s="25">
        <v>165</v>
      </c>
      <c r="C9" s="25">
        <v>103</v>
      </c>
      <c r="D9" s="24" t="s">
        <v>44</v>
      </c>
      <c r="E9" s="8"/>
      <c r="F9" s="35" t="s">
        <v>147</v>
      </c>
      <c r="G9" s="68" t="s">
        <v>138</v>
      </c>
      <c r="H9" s="68"/>
      <c r="I9" s="68"/>
      <c r="J9" s="68"/>
      <c r="K9" s="6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ht="15" customHeight="1" x14ac:dyDescent="0.35">
      <c r="A10" s="26" t="s">
        <v>77</v>
      </c>
      <c r="B10" s="27">
        <v>139</v>
      </c>
      <c r="C10" s="27">
        <v>61</v>
      </c>
      <c r="D10" s="26" t="s">
        <v>44</v>
      </c>
      <c r="E10" s="8"/>
      <c r="F10" s="35" t="s">
        <v>148</v>
      </c>
      <c r="G10" s="22" t="s">
        <v>139</v>
      </c>
      <c r="H10" s="22" t="s">
        <v>140</v>
      </c>
      <c r="I10" s="22" t="s">
        <v>141</v>
      </c>
      <c r="J10" s="22" t="s">
        <v>142</v>
      </c>
      <c r="K10" s="22" t="s">
        <v>143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ht="15" customHeight="1" x14ac:dyDescent="0.35">
      <c r="A11" s="24" t="s">
        <v>79</v>
      </c>
      <c r="B11" s="25">
        <v>46</v>
      </c>
      <c r="C11" s="25">
        <v>0</v>
      </c>
      <c r="D11" s="24" t="s">
        <v>44</v>
      </c>
      <c r="E11" s="8"/>
      <c r="F11" s="35" t="s">
        <v>146</v>
      </c>
      <c r="G11" s="23">
        <v>538</v>
      </c>
      <c r="H11" s="23">
        <f>G11+K11</f>
        <v>1060</v>
      </c>
      <c r="I11" s="23">
        <v>1060</v>
      </c>
      <c r="J11" s="23">
        <v>1060</v>
      </c>
      <c r="K11" s="23">
        <v>522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ht="15" customHeight="1" x14ac:dyDescent="0.35">
      <c r="A12" s="7"/>
      <c r="B12" s="10">
        <f>SUM(B9:B11)</f>
        <v>350</v>
      </c>
      <c r="C12" s="10">
        <f>SUM(C9:C11)</f>
        <v>164</v>
      </c>
      <c r="D12" s="14">
        <f>B12+C12</f>
        <v>514</v>
      </c>
      <c r="E12" s="8"/>
      <c r="F12" s="36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ht="15" customHeight="1" x14ac:dyDescent="0.35">
      <c r="A13" s="24" t="s">
        <v>67</v>
      </c>
      <c r="B13" s="25">
        <v>144</v>
      </c>
      <c r="C13" s="25">
        <v>63</v>
      </c>
      <c r="D13" s="24" t="s">
        <v>14</v>
      </c>
      <c r="E13" s="8"/>
      <c r="F13" s="36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ht="15" customHeight="1" x14ac:dyDescent="0.35">
      <c r="A14" s="26" t="s">
        <v>16</v>
      </c>
      <c r="B14" s="27">
        <v>80</v>
      </c>
      <c r="C14" s="27">
        <v>0</v>
      </c>
      <c r="D14" s="26" t="s">
        <v>14</v>
      </c>
      <c r="E14" s="8"/>
      <c r="F14" s="35" t="s">
        <v>147</v>
      </c>
      <c r="G14" s="68" t="s">
        <v>144</v>
      </c>
      <c r="H14" s="68"/>
      <c r="I14" s="68"/>
      <c r="J14" s="68"/>
      <c r="K14" s="6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ht="15" customHeight="1" x14ac:dyDescent="0.35">
      <c r="A15" s="24" t="s">
        <v>93</v>
      </c>
      <c r="B15" s="25">
        <v>139</v>
      </c>
      <c r="C15" s="25">
        <v>0</v>
      </c>
      <c r="D15" s="24" t="s">
        <v>14</v>
      </c>
      <c r="E15" s="8"/>
      <c r="F15" s="35" t="s">
        <v>148</v>
      </c>
      <c r="G15" s="22" t="s">
        <v>133</v>
      </c>
      <c r="H15" s="22" t="s">
        <v>134</v>
      </c>
      <c r="I15" s="22" t="s">
        <v>135</v>
      </c>
      <c r="J15" s="22" t="s">
        <v>136</v>
      </c>
      <c r="K15" s="22" t="s">
        <v>137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ht="15" customHeight="1" x14ac:dyDescent="0.35">
      <c r="A16" s="26" t="s">
        <v>27</v>
      </c>
      <c r="B16" s="27">
        <v>90</v>
      </c>
      <c r="C16" s="27">
        <v>22</v>
      </c>
      <c r="D16" s="26" t="s">
        <v>14</v>
      </c>
      <c r="E16" s="8"/>
      <c r="F16" s="35" t="s">
        <v>146</v>
      </c>
      <c r="G16" s="23">
        <v>635</v>
      </c>
      <c r="H16" s="23">
        <f>G16+K16</f>
        <v>1108</v>
      </c>
      <c r="I16" s="23">
        <v>1108</v>
      </c>
      <c r="J16" s="23">
        <v>1108</v>
      </c>
      <c r="K16" s="23">
        <v>473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15" customHeight="1" x14ac:dyDescent="0.35">
      <c r="A17" s="9"/>
      <c r="B17" s="11">
        <f>SUM(B13:B16)</f>
        <v>453</v>
      </c>
      <c r="C17" s="11">
        <f>SUM(C13:C16)</f>
        <v>85</v>
      </c>
      <c r="D17" s="13">
        <f>B17+C17</f>
        <v>538</v>
      </c>
      <c r="E17" s="8"/>
      <c r="F17" s="3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ht="15" customHeight="1" x14ac:dyDescent="0.35">
      <c r="A18" s="26" t="s">
        <v>104</v>
      </c>
      <c r="B18" s="27">
        <v>272</v>
      </c>
      <c r="C18" s="27">
        <v>34</v>
      </c>
      <c r="D18" s="26" t="s">
        <v>15</v>
      </c>
      <c r="E18" s="8"/>
      <c r="F18" s="35" t="s">
        <v>147</v>
      </c>
      <c r="G18" s="68" t="s">
        <v>145</v>
      </c>
      <c r="H18" s="68"/>
      <c r="I18" s="68"/>
      <c r="J18" s="68"/>
      <c r="K18" s="6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ht="15" customHeight="1" x14ac:dyDescent="0.35">
      <c r="A19" s="24" t="s">
        <v>9</v>
      </c>
      <c r="B19" s="25">
        <v>0</v>
      </c>
      <c r="C19" s="25">
        <v>16</v>
      </c>
      <c r="D19" s="24" t="s">
        <v>15</v>
      </c>
      <c r="E19" s="8"/>
      <c r="F19" s="35" t="s">
        <v>148</v>
      </c>
      <c r="G19" s="22" t="s">
        <v>139</v>
      </c>
      <c r="H19" s="22" t="s">
        <v>140</v>
      </c>
      <c r="I19" s="22" t="s">
        <v>141</v>
      </c>
      <c r="J19" s="22" t="s">
        <v>142</v>
      </c>
      <c r="K19" s="22" t="s">
        <v>143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ht="15" customHeight="1" x14ac:dyDescent="0.35">
      <c r="A20" s="26" t="s">
        <v>22</v>
      </c>
      <c r="B20" s="27">
        <v>139</v>
      </c>
      <c r="C20" s="27">
        <v>61</v>
      </c>
      <c r="D20" s="26" t="s">
        <v>15</v>
      </c>
      <c r="E20" s="8"/>
      <c r="F20" s="35" t="s">
        <v>146</v>
      </c>
      <c r="G20" s="23">
        <v>588</v>
      </c>
      <c r="H20" s="23">
        <f>G20+K20</f>
        <v>1153</v>
      </c>
      <c r="I20" s="23">
        <v>1153</v>
      </c>
      <c r="J20" s="23">
        <v>1153</v>
      </c>
      <c r="K20" s="23">
        <v>565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ht="15" customHeight="1" x14ac:dyDescent="0.35">
      <c r="A21" s="9"/>
      <c r="B21" s="11">
        <f>SUM(B18:B20)</f>
        <v>411</v>
      </c>
      <c r="C21" s="11">
        <f>SUM(C18:C20)</f>
        <v>111</v>
      </c>
      <c r="D21" s="13">
        <f>B21+C21</f>
        <v>522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ht="15" customHeight="1" x14ac:dyDescent="0.35">
      <c r="A22" s="26" t="s">
        <v>109</v>
      </c>
      <c r="B22" s="27">
        <v>235</v>
      </c>
      <c r="C22" s="27">
        <v>200</v>
      </c>
      <c r="D22" s="26" t="s">
        <v>56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ht="15" customHeight="1" x14ac:dyDescent="0.35">
      <c r="A23" s="24" t="s">
        <v>114</v>
      </c>
      <c r="B23" s="25">
        <v>176</v>
      </c>
      <c r="C23" s="25">
        <v>24</v>
      </c>
      <c r="D23" s="24" t="s">
        <v>56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ht="15" customHeight="1" x14ac:dyDescent="0.35">
      <c r="A24" s="7"/>
      <c r="B24" s="10">
        <f>B22+B23</f>
        <v>411</v>
      </c>
      <c r="C24" s="10">
        <f>C22+C23</f>
        <v>224</v>
      </c>
      <c r="D24" s="14">
        <f>B24+C24</f>
        <v>635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ht="15" customHeight="1" x14ac:dyDescent="0.35">
      <c r="A25" s="26" t="s">
        <v>72</v>
      </c>
      <c r="B25" s="27">
        <v>190</v>
      </c>
      <c r="C25" s="27">
        <v>0</v>
      </c>
      <c r="D25" s="26" t="s">
        <v>50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ht="15" customHeight="1" x14ac:dyDescent="0.35">
      <c r="A26" s="24" t="s">
        <v>119</v>
      </c>
      <c r="B26" s="25">
        <v>36</v>
      </c>
      <c r="C26" s="25">
        <v>12</v>
      </c>
      <c r="D26" s="24" t="s">
        <v>50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ht="15" customHeight="1" x14ac:dyDescent="0.35">
      <c r="A27" s="26" t="s">
        <v>124</v>
      </c>
      <c r="B27" s="27">
        <v>137</v>
      </c>
      <c r="C27" s="27">
        <v>98</v>
      </c>
      <c r="D27" s="26" t="s">
        <v>50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ht="15" customHeight="1" x14ac:dyDescent="0.35">
      <c r="A28" s="7"/>
      <c r="B28" s="10">
        <f>B25+B26+B27</f>
        <v>363</v>
      </c>
      <c r="C28" s="10">
        <f>C25+C26+C27</f>
        <v>110</v>
      </c>
      <c r="D28" s="14">
        <f>B28+C28</f>
        <v>473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ht="15" customHeight="1" x14ac:dyDescent="0.35">
      <c r="A29" s="24" t="s">
        <v>83</v>
      </c>
      <c r="B29" s="25">
        <v>165</v>
      </c>
      <c r="C29" s="25">
        <v>0</v>
      </c>
      <c r="D29" s="24" t="s">
        <v>21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 ht="15" customHeight="1" x14ac:dyDescent="0.35">
      <c r="A30" s="26" t="s">
        <v>88</v>
      </c>
      <c r="B30" s="27">
        <v>236</v>
      </c>
      <c r="C30" s="27">
        <v>91</v>
      </c>
      <c r="D30" s="26" t="s">
        <v>21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ht="15" customHeight="1" x14ac:dyDescent="0.35">
      <c r="A31" s="24" t="s">
        <v>72</v>
      </c>
      <c r="B31" s="25">
        <v>0</v>
      </c>
      <c r="C31" s="25">
        <v>96</v>
      </c>
      <c r="D31" s="24" t="s">
        <v>21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ht="15" customHeight="1" x14ac:dyDescent="0.35">
      <c r="A32" s="7"/>
      <c r="B32" s="10">
        <f>SUM(B29:B31)</f>
        <v>401</v>
      </c>
      <c r="C32" s="10">
        <f>SUM(C29:C31)</f>
        <v>187</v>
      </c>
      <c r="D32" s="14">
        <f>B32+C32</f>
        <v>588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ht="15" customHeight="1" x14ac:dyDescent="0.35">
      <c r="A33" s="24" t="s">
        <v>57</v>
      </c>
      <c r="B33" s="28">
        <v>174</v>
      </c>
      <c r="C33" s="28">
        <v>89</v>
      </c>
      <c r="D33" s="29" t="s">
        <v>103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ht="15" customHeight="1" x14ac:dyDescent="0.35">
      <c r="A34" s="26" t="s">
        <v>98</v>
      </c>
      <c r="B34" s="30">
        <v>238</v>
      </c>
      <c r="C34" s="30">
        <v>64</v>
      </c>
      <c r="D34" s="31" t="s">
        <v>103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s="19" customFormat="1" ht="15" customHeight="1" x14ac:dyDescent="0.25">
      <c r="A35" s="15"/>
      <c r="B35" s="16">
        <f>SUM(B33:B34)</f>
        <v>412</v>
      </c>
      <c r="C35" s="16">
        <f>SUM(C33:C34)</f>
        <v>153</v>
      </c>
      <c r="D35" s="17">
        <f>B35+C35</f>
        <v>565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spans="1:22" ht="12.75" customHeight="1" x14ac:dyDescent="0.25"/>
    <row r="37" spans="1:22" ht="18" customHeight="1" x14ac:dyDescent="0.35">
      <c r="A37" s="32" t="s">
        <v>149</v>
      </c>
      <c r="B37" s="33">
        <f>B35+B32+B28+B24+B21+B17+B12+B8</f>
        <v>3110</v>
      </c>
      <c r="C37" s="33">
        <f>C35+C32+C28+C24+C21+C17+C12+C8</f>
        <v>1266</v>
      </c>
      <c r="D37" s="34">
        <f>D35+D32+D28+D24+D21+D17+D12+D8</f>
        <v>4376</v>
      </c>
    </row>
    <row r="38" spans="1:22" ht="12.75" customHeight="1" x14ac:dyDescent="0.25"/>
    <row r="39" spans="1:22" ht="12.75" customHeight="1" x14ac:dyDescent="0.25"/>
    <row r="40" spans="1:22" ht="12.75" customHeight="1" x14ac:dyDescent="0.25"/>
    <row r="41" spans="1:22" ht="12.75" customHeight="1" x14ac:dyDescent="0.25"/>
    <row r="42" spans="1:22" ht="12.75" customHeight="1" x14ac:dyDescent="0.25"/>
    <row r="43" spans="1:22" ht="12.75" customHeight="1" x14ac:dyDescent="0.25"/>
    <row r="44" spans="1:22" ht="12.75" customHeight="1" x14ac:dyDescent="0.25"/>
    <row r="45" spans="1:22" ht="12.75" customHeight="1" x14ac:dyDescent="0.25"/>
    <row r="46" spans="1:22" ht="12.75" customHeight="1" x14ac:dyDescent="0.25"/>
    <row r="47" spans="1:22" ht="12.75" customHeight="1" x14ac:dyDescent="0.25"/>
    <row r="48" spans="1:22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  <row r="1008" ht="12.75" customHeight="1" x14ac:dyDescent="0.25"/>
    <row r="1009" ht="12.75" customHeight="1" x14ac:dyDescent="0.25"/>
  </sheetData>
  <mergeCells count="5">
    <mergeCell ref="G5:K5"/>
    <mergeCell ref="G9:K9"/>
    <mergeCell ref="G14:K14"/>
    <mergeCell ref="G18:K18"/>
    <mergeCell ref="A1:K1"/>
  </mergeCells>
  <pageMargins left="0.31496062992125984" right="0.31496062992125984" top="0.74803149606299213" bottom="0.74803149606299213" header="0" footer="0"/>
  <pageSetup paperSize="9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E35"/>
  <sheetViews>
    <sheetView topLeftCell="CB1" zoomScale="75" zoomScaleNormal="75" workbookViewId="0">
      <selection activeCell="U11" sqref="U11"/>
    </sheetView>
  </sheetViews>
  <sheetFormatPr baseColWidth="10" defaultRowHeight="13" x14ac:dyDescent="0.3"/>
  <cols>
    <col min="1" max="1" width="70.1796875" customWidth="1"/>
    <col min="2" max="5" width="5.7265625" style="38" customWidth="1"/>
    <col min="6" max="6" width="5.7265625" style="41" customWidth="1"/>
    <col min="7" max="7" width="5.7265625" style="43" customWidth="1"/>
    <col min="8" max="8" width="5.7265625" style="41" customWidth="1"/>
    <col min="9" max="12" width="5.7265625" style="38" customWidth="1"/>
    <col min="13" max="13" width="4.7265625" customWidth="1"/>
    <col min="14" max="14" width="7.54296875" customWidth="1"/>
    <col min="15" max="15" width="3.7265625" customWidth="1"/>
    <col min="16" max="20" width="5.7265625" customWidth="1"/>
    <col min="21" max="43" width="4.7265625" customWidth="1"/>
    <col min="45" max="66" width="4.7265625" customWidth="1"/>
    <col min="68" max="89" width="4.7265625" customWidth="1"/>
    <col min="91" max="112" width="4.7265625" customWidth="1"/>
    <col min="114" max="135" width="4.7265625" customWidth="1"/>
  </cols>
  <sheetData>
    <row r="1" spans="1:135" ht="50.25" customHeight="1" x14ac:dyDescent="0.25">
      <c r="B1" s="90" t="s">
        <v>207</v>
      </c>
      <c r="C1" s="90" t="s">
        <v>206</v>
      </c>
      <c r="D1" s="90" t="s">
        <v>205</v>
      </c>
      <c r="E1" s="90" t="s">
        <v>204</v>
      </c>
      <c r="F1" s="87" t="s">
        <v>203</v>
      </c>
      <c r="G1" s="75" t="s">
        <v>216</v>
      </c>
      <c r="H1" s="88" t="s">
        <v>207</v>
      </c>
      <c r="I1" s="89" t="s">
        <v>206</v>
      </c>
      <c r="J1" s="89" t="s">
        <v>205</v>
      </c>
      <c r="K1" s="89" t="s">
        <v>204</v>
      </c>
      <c r="L1" s="89" t="s">
        <v>203</v>
      </c>
      <c r="M1" s="78" t="s">
        <v>216</v>
      </c>
      <c r="N1" s="81" t="s">
        <v>217</v>
      </c>
      <c r="O1" s="66"/>
      <c r="P1" s="84" t="s">
        <v>218</v>
      </c>
      <c r="Q1" s="84"/>
      <c r="R1" s="84"/>
      <c r="S1" s="84"/>
      <c r="T1" s="84"/>
      <c r="V1" s="72" t="s">
        <v>209</v>
      </c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S1" s="72" t="s">
        <v>212</v>
      </c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P1" s="72" t="s">
        <v>209</v>
      </c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M1" s="72" t="s">
        <v>209</v>
      </c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J1" s="72" t="s">
        <v>210</v>
      </c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  <c r="EB1" s="72"/>
      <c r="EC1" s="72"/>
      <c r="ED1" s="72"/>
      <c r="EE1" s="72"/>
    </row>
    <row r="2" spans="1:135" ht="12.5" x14ac:dyDescent="0.25">
      <c r="B2" s="90"/>
      <c r="C2" s="90"/>
      <c r="D2" s="90"/>
      <c r="E2" s="90"/>
      <c r="F2" s="87"/>
      <c r="G2" s="76"/>
      <c r="H2" s="88"/>
      <c r="I2" s="89"/>
      <c r="J2" s="89"/>
      <c r="K2" s="89"/>
      <c r="L2" s="89"/>
      <c r="M2" s="79"/>
      <c r="N2" s="82"/>
      <c r="O2" s="66"/>
      <c r="P2" s="84"/>
      <c r="Q2" s="84"/>
      <c r="R2" s="84"/>
      <c r="S2" s="84"/>
      <c r="T2" s="84"/>
      <c r="V2" s="91" t="s">
        <v>208</v>
      </c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49"/>
      <c r="AS2" s="85" t="s">
        <v>213</v>
      </c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P2" s="85" t="s">
        <v>214</v>
      </c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6"/>
      <c r="CE2" s="86"/>
      <c r="CF2" s="86"/>
      <c r="CG2" s="86"/>
      <c r="CH2" s="86"/>
      <c r="CI2" s="86"/>
      <c r="CJ2" s="86"/>
      <c r="CK2" s="86"/>
      <c r="CM2" s="85" t="s">
        <v>215</v>
      </c>
      <c r="CN2" s="86"/>
      <c r="CO2" s="86"/>
      <c r="CP2" s="86"/>
      <c r="CQ2" s="86"/>
      <c r="CR2" s="86"/>
      <c r="CS2" s="86"/>
      <c r="CT2" s="86"/>
      <c r="CU2" s="86"/>
      <c r="CV2" s="86"/>
      <c r="CW2" s="86"/>
      <c r="CX2" s="86"/>
      <c r="CY2" s="86"/>
      <c r="CZ2" s="86"/>
      <c r="DA2" s="86"/>
      <c r="DB2" s="86"/>
      <c r="DC2" s="86"/>
      <c r="DD2" s="86"/>
      <c r="DE2" s="86"/>
      <c r="DF2" s="86"/>
      <c r="DG2" s="86"/>
      <c r="DH2" s="86"/>
      <c r="DJ2" s="73" t="s">
        <v>211</v>
      </c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</row>
    <row r="3" spans="1:135" ht="30" customHeight="1" x14ac:dyDescent="0.25">
      <c r="B3" s="90"/>
      <c r="C3" s="90"/>
      <c r="D3" s="90"/>
      <c r="E3" s="90"/>
      <c r="F3" s="87"/>
      <c r="G3" s="76"/>
      <c r="H3" s="88"/>
      <c r="I3" s="89"/>
      <c r="J3" s="89"/>
      <c r="K3" s="89"/>
      <c r="L3" s="89"/>
      <c r="M3" s="79"/>
      <c r="N3" s="82"/>
      <c r="O3" s="66"/>
      <c r="P3" s="84">
        <v>1</v>
      </c>
      <c r="Q3" s="84">
        <v>2</v>
      </c>
      <c r="R3" s="84">
        <v>3</v>
      </c>
      <c r="S3" s="84">
        <v>4</v>
      </c>
      <c r="T3" s="84">
        <v>5</v>
      </c>
      <c r="V3" s="46" t="s">
        <v>151</v>
      </c>
      <c r="W3" s="46" t="s">
        <v>152</v>
      </c>
      <c r="X3" s="46" t="s">
        <v>153</v>
      </c>
      <c r="Y3" s="46" t="s">
        <v>154</v>
      </c>
      <c r="Z3" s="46" t="s">
        <v>155</v>
      </c>
      <c r="AA3" s="46" t="s">
        <v>156</v>
      </c>
      <c r="AB3" s="46" t="s">
        <v>157</v>
      </c>
      <c r="AC3" s="46" t="s">
        <v>158</v>
      </c>
      <c r="AD3" s="46" t="s">
        <v>159</v>
      </c>
      <c r="AE3" s="46" t="s">
        <v>160</v>
      </c>
      <c r="AF3" s="46" t="s">
        <v>161</v>
      </c>
      <c r="AG3" s="46" t="s">
        <v>162</v>
      </c>
      <c r="AH3" s="46" t="s">
        <v>163</v>
      </c>
      <c r="AI3" s="46" t="s">
        <v>164</v>
      </c>
      <c r="AJ3" s="46" t="s">
        <v>165</v>
      </c>
      <c r="AK3" s="46" t="s">
        <v>166</v>
      </c>
      <c r="AL3" s="46" t="s">
        <v>167</v>
      </c>
      <c r="AM3" s="46" t="s">
        <v>168</v>
      </c>
      <c r="AN3" s="46" t="s">
        <v>169</v>
      </c>
      <c r="AO3" s="46" t="s">
        <v>170</v>
      </c>
      <c r="AP3" s="46" t="s">
        <v>171</v>
      </c>
      <c r="AQ3" s="46" t="s">
        <v>172</v>
      </c>
      <c r="AR3" s="49"/>
      <c r="AS3" s="54" t="s">
        <v>151</v>
      </c>
      <c r="AT3" s="54" t="s">
        <v>152</v>
      </c>
      <c r="AU3" s="54" t="s">
        <v>153</v>
      </c>
      <c r="AV3" s="54" t="s">
        <v>154</v>
      </c>
      <c r="AW3" s="54" t="s">
        <v>155</v>
      </c>
      <c r="AX3" s="54" t="s">
        <v>156</v>
      </c>
      <c r="AY3" s="54" t="s">
        <v>157</v>
      </c>
      <c r="AZ3" s="54" t="s">
        <v>158</v>
      </c>
      <c r="BA3" s="54" t="s">
        <v>159</v>
      </c>
      <c r="BB3" s="54" t="s">
        <v>160</v>
      </c>
      <c r="BC3" s="54" t="s">
        <v>161</v>
      </c>
      <c r="BD3" s="54" t="s">
        <v>162</v>
      </c>
      <c r="BE3" s="54" t="s">
        <v>163</v>
      </c>
      <c r="BF3" s="54" t="s">
        <v>164</v>
      </c>
      <c r="BG3" s="54" t="s">
        <v>165</v>
      </c>
      <c r="BH3" s="54" t="s">
        <v>166</v>
      </c>
      <c r="BI3" s="54" t="s">
        <v>167</v>
      </c>
      <c r="BJ3" s="54" t="s">
        <v>168</v>
      </c>
      <c r="BK3" s="54" t="s">
        <v>169</v>
      </c>
      <c r="BL3" s="54" t="s">
        <v>170</v>
      </c>
      <c r="BM3" s="54" t="s">
        <v>171</v>
      </c>
      <c r="BN3" s="54" t="s">
        <v>172</v>
      </c>
      <c r="BP3" s="54" t="s">
        <v>151</v>
      </c>
      <c r="BQ3" s="54" t="s">
        <v>152</v>
      </c>
      <c r="BR3" s="54" t="s">
        <v>153</v>
      </c>
      <c r="BS3" s="54" t="s">
        <v>154</v>
      </c>
      <c r="BT3" s="54" t="s">
        <v>155</v>
      </c>
      <c r="BU3" s="54" t="s">
        <v>156</v>
      </c>
      <c r="BV3" s="54" t="s">
        <v>157</v>
      </c>
      <c r="BW3" s="54" t="s">
        <v>158</v>
      </c>
      <c r="BX3" s="54" t="s">
        <v>159</v>
      </c>
      <c r="BY3" s="54" t="s">
        <v>160</v>
      </c>
      <c r="BZ3" s="54" t="s">
        <v>161</v>
      </c>
      <c r="CA3" s="54" t="s">
        <v>162</v>
      </c>
      <c r="CB3" s="54" t="s">
        <v>163</v>
      </c>
      <c r="CC3" s="54" t="s">
        <v>164</v>
      </c>
      <c r="CD3" s="54" t="s">
        <v>165</v>
      </c>
      <c r="CE3" s="54" t="s">
        <v>166</v>
      </c>
      <c r="CF3" s="54" t="s">
        <v>167</v>
      </c>
      <c r="CG3" s="54" t="s">
        <v>168</v>
      </c>
      <c r="CH3" s="54" t="s">
        <v>169</v>
      </c>
      <c r="CI3" s="54" t="s">
        <v>170</v>
      </c>
      <c r="CJ3" s="54" t="s">
        <v>171</v>
      </c>
      <c r="CK3" s="54" t="s">
        <v>172</v>
      </c>
      <c r="CM3" s="54" t="s">
        <v>151</v>
      </c>
      <c r="CN3" s="54" t="s">
        <v>152</v>
      </c>
      <c r="CO3" s="54" t="s">
        <v>153</v>
      </c>
      <c r="CP3" s="54" t="s">
        <v>154</v>
      </c>
      <c r="CQ3" s="54" t="s">
        <v>155</v>
      </c>
      <c r="CR3" s="54" t="s">
        <v>156</v>
      </c>
      <c r="CS3" s="54" t="s">
        <v>157</v>
      </c>
      <c r="CT3" s="54" t="s">
        <v>158</v>
      </c>
      <c r="CU3" s="54" t="s">
        <v>159</v>
      </c>
      <c r="CV3" s="54" t="s">
        <v>160</v>
      </c>
      <c r="CW3" s="54" t="s">
        <v>161</v>
      </c>
      <c r="CX3" s="54" t="s">
        <v>162</v>
      </c>
      <c r="CY3" s="54" t="s">
        <v>163</v>
      </c>
      <c r="CZ3" s="54" t="s">
        <v>164</v>
      </c>
      <c r="DA3" s="54" t="s">
        <v>165</v>
      </c>
      <c r="DB3" s="54" t="s">
        <v>166</v>
      </c>
      <c r="DC3" s="54" t="s">
        <v>167</v>
      </c>
      <c r="DD3" s="54" t="s">
        <v>168</v>
      </c>
      <c r="DE3" s="54" t="s">
        <v>169</v>
      </c>
      <c r="DF3" s="54" t="s">
        <v>170</v>
      </c>
      <c r="DG3" s="54" t="s">
        <v>171</v>
      </c>
      <c r="DH3" s="54" t="s">
        <v>172</v>
      </c>
      <c r="DJ3" s="51" t="s">
        <v>151</v>
      </c>
      <c r="DK3" s="51" t="s">
        <v>152</v>
      </c>
      <c r="DL3" s="51" t="s">
        <v>153</v>
      </c>
      <c r="DM3" s="51" t="s">
        <v>154</v>
      </c>
      <c r="DN3" s="51" t="s">
        <v>155</v>
      </c>
      <c r="DO3" s="51" t="s">
        <v>156</v>
      </c>
      <c r="DP3" s="51" t="s">
        <v>157</v>
      </c>
      <c r="DQ3" s="51" t="s">
        <v>158</v>
      </c>
      <c r="DR3" s="51" t="s">
        <v>159</v>
      </c>
      <c r="DS3" s="51" t="s">
        <v>160</v>
      </c>
      <c r="DT3" s="51" t="s">
        <v>161</v>
      </c>
      <c r="DU3" s="51" t="s">
        <v>162</v>
      </c>
      <c r="DV3" s="51" t="s">
        <v>163</v>
      </c>
      <c r="DW3" s="51" t="s">
        <v>164</v>
      </c>
      <c r="DX3" s="51" t="s">
        <v>165</v>
      </c>
      <c r="DY3" s="51" t="s">
        <v>166</v>
      </c>
      <c r="DZ3" s="51" t="s">
        <v>167</v>
      </c>
      <c r="EA3" s="51" t="s">
        <v>168</v>
      </c>
      <c r="EB3" s="51" t="s">
        <v>169</v>
      </c>
      <c r="EC3" s="51" t="s">
        <v>170</v>
      </c>
      <c r="ED3" s="51" t="s">
        <v>171</v>
      </c>
      <c r="EE3" s="51" t="s">
        <v>172</v>
      </c>
    </row>
    <row r="4" spans="1:135" ht="14.5" thickBot="1" x14ac:dyDescent="0.35">
      <c r="B4" s="39">
        <v>541</v>
      </c>
      <c r="C4" s="39">
        <v>541</v>
      </c>
      <c r="D4" s="39">
        <v>541</v>
      </c>
      <c r="E4" s="39">
        <v>541</v>
      </c>
      <c r="F4" s="40">
        <v>541</v>
      </c>
      <c r="G4" s="77"/>
      <c r="H4" s="44">
        <v>514</v>
      </c>
      <c r="I4" s="45">
        <v>514</v>
      </c>
      <c r="J4" s="45">
        <v>514</v>
      </c>
      <c r="K4" s="45">
        <v>514</v>
      </c>
      <c r="L4" s="45">
        <v>514</v>
      </c>
      <c r="M4" s="80"/>
      <c r="N4" s="83"/>
      <c r="O4" s="66"/>
      <c r="P4" s="84"/>
      <c r="Q4" s="84"/>
      <c r="R4" s="84"/>
      <c r="S4" s="84"/>
      <c r="T4" s="84"/>
      <c r="V4" s="47">
        <v>32</v>
      </c>
      <c r="W4" s="47">
        <v>42</v>
      </c>
      <c r="X4" s="47">
        <v>32</v>
      </c>
      <c r="Y4" s="47">
        <v>36</v>
      </c>
      <c r="Z4" s="47">
        <v>26</v>
      </c>
      <c r="AA4" s="47">
        <v>38</v>
      </c>
      <c r="AB4" s="47">
        <v>40</v>
      </c>
      <c r="AC4" s="47">
        <v>16</v>
      </c>
      <c r="AD4" s="47">
        <v>16</v>
      </c>
      <c r="AE4" s="47">
        <v>16</v>
      </c>
      <c r="AF4" s="47">
        <v>20</v>
      </c>
      <c r="AG4" s="48">
        <v>112</v>
      </c>
      <c r="AH4" s="48">
        <v>212</v>
      </c>
      <c r="AI4" s="48">
        <v>212</v>
      </c>
      <c r="AJ4" s="47">
        <v>30</v>
      </c>
      <c r="AK4" s="47">
        <v>16</v>
      </c>
      <c r="AL4" s="47">
        <v>32</v>
      </c>
      <c r="AM4" s="47">
        <v>32</v>
      </c>
      <c r="AN4" s="47">
        <v>36</v>
      </c>
      <c r="AO4" s="47">
        <v>30</v>
      </c>
      <c r="AP4" s="48">
        <v>50</v>
      </c>
      <c r="AQ4" s="48">
        <v>80</v>
      </c>
      <c r="AR4" s="50"/>
      <c r="AS4" s="55">
        <v>32</v>
      </c>
      <c r="AT4" s="55">
        <v>42</v>
      </c>
      <c r="AU4" s="55">
        <v>32</v>
      </c>
      <c r="AV4" s="55">
        <v>36</v>
      </c>
      <c r="AW4" s="55">
        <v>26</v>
      </c>
      <c r="AX4" s="55">
        <v>38</v>
      </c>
      <c r="AY4" s="55">
        <v>40</v>
      </c>
      <c r="AZ4" s="55">
        <v>16</v>
      </c>
      <c r="BA4" s="55">
        <v>16</v>
      </c>
      <c r="BB4" s="55">
        <v>16</v>
      </c>
      <c r="BC4" s="55">
        <v>20</v>
      </c>
      <c r="BD4" s="56">
        <v>112</v>
      </c>
      <c r="BE4" s="56">
        <v>212</v>
      </c>
      <c r="BF4" s="56">
        <v>212</v>
      </c>
      <c r="BG4" s="55">
        <v>30</v>
      </c>
      <c r="BH4" s="55">
        <v>16</v>
      </c>
      <c r="BI4" s="55">
        <v>32</v>
      </c>
      <c r="BJ4" s="55">
        <v>32</v>
      </c>
      <c r="BK4" s="55">
        <v>36</v>
      </c>
      <c r="BL4" s="55">
        <v>30</v>
      </c>
      <c r="BM4" s="56">
        <v>50</v>
      </c>
      <c r="BN4" s="56">
        <v>80</v>
      </c>
      <c r="BP4" s="55">
        <v>32</v>
      </c>
      <c r="BQ4" s="55">
        <v>42</v>
      </c>
      <c r="BR4" s="55">
        <v>32</v>
      </c>
      <c r="BS4" s="55">
        <v>36</v>
      </c>
      <c r="BT4" s="55">
        <v>26</v>
      </c>
      <c r="BU4" s="55">
        <v>38</v>
      </c>
      <c r="BV4" s="55">
        <v>40</v>
      </c>
      <c r="BW4" s="55">
        <v>16</v>
      </c>
      <c r="BX4" s="55">
        <v>16</v>
      </c>
      <c r="BY4" s="55">
        <v>16</v>
      </c>
      <c r="BZ4" s="55">
        <v>20</v>
      </c>
      <c r="CA4" s="56">
        <v>112</v>
      </c>
      <c r="CB4" s="56">
        <v>212</v>
      </c>
      <c r="CC4" s="56">
        <v>212</v>
      </c>
      <c r="CD4" s="55">
        <v>30</v>
      </c>
      <c r="CE4" s="55">
        <v>16</v>
      </c>
      <c r="CF4" s="55">
        <v>32</v>
      </c>
      <c r="CG4" s="55">
        <v>32</v>
      </c>
      <c r="CH4" s="55">
        <v>36</v>
      </c>
      <c r="CI4" s="55">
        <v>30</v>
      </c>
      <c r="CJ4" s="56">
        <v>50</v>
      </c>
      <c r="CK4" s="56">
        <v>80</v>
      </c>
      <c r="CM4" s="55">
        <v>32</v>
      </c>
      <c r="CN4" s="55">
        <v>42</v>
      </c>
      <c r="CO4" s="55">
        <v>32</v>
      </c>
      <c r="CP4" s="55">
        <v>36</v>
      </c>
      <c r="CQ4" s="55">
        <v>26</v>
      </c>
      <c r="CR4" s="55">
        <v>38</v>
      </c>
      <c r="CS4" s="55">
        <v>40</v>
      </c>
      <c r="CT4" s="55">
        <v>16</v>
      </c>
      <c r="CU4" s="55">
        <v>16</v>
      </c>
      <c r="CV4" s="55">
        <v>16</v>
      </c>
      <c r="CW4" s="55">
        <v>20</v>
      </c>
      <c r="CX4" s="56">
        <v>112</v>
      </c>
      <c r="CY4" s="56">
        <v>212</v>
      </c>
      <c r="CZ4" s="56">
        <v>212</v>
      </c>
      <c r="DA4" s="55">
        <v>30</v>
      </c>
      <c r="DB4" s="55">
        <v>16</v>
      </c>
      <c r="DC4" s="55">
        <v>32</v>
      </c>
      <c r="DD4" s="55">
        <v>32</v>
      </c>
      <c r="DE4" s="55">
        <v>36</v>
      </c>
      <c r="DF4" s="55">
        <v>30</v>
      </c>
      <c r="DG4" s="56">
        <v>50</v>
      </c>
      <c r="DH4" s="56">
        <v>80</v>
      </c>
      <c r="DJ4" s="52">
        <v>32</v>
      </c>
      <c r="DK4" s="52">
        <v>42</v>
      </c>
      <c r="DL4" s="52">
        <v>32</v>
      </c>
      <c r="DM4" s="52">
        <v>36</v>
      </c>
      <c r="DN4" s="52">
        <v>26</v>
      </c>
      <c r="DO4" s="52">
        <v>38</v>
      </c>
      <c r="DP4" s="52">
        <v>40</v>
      </c>
      <c r="DQ4" s="52">
        <v>16</v>
      </c>
      <c r="DR4" s="52">
        <v>16</v>
      </c>
      <c r="DS4" s="52">
        <v>16</v>
      </c>
      <c r="DT4" s="52">
        <v>20</v>
      </c>
      <c r="DU4" s="53">
        <v>112</v>
      </c>
      <c r="DV4" s="53">
        <v>212</v>
      </c>
      <c r="DW4" s="53">
        <v>212</v>
      </c>
      <c r="DX4" s="52">
        <v>30</v>
      </c>
      <c r="DY4" s="52">
        <v>16</v>
      </c>
      <c r="DZ4" s="52">
        <v>32</v>
      </c>
      <c r="EA4" s="52">
        <v>32</v>
      </c>
      <c r="EB4" s="52">
        <v>36</v>
      </c>
      <c r="EC4" s="52">
        <v>30</v>
      </c>
      <c r="ED4" s="53">
        <v>50</v>
      </c>
      <c r="EE4" s="53">
        <v>80</v>
      </c>
    </row>
    <row r="5" spans="1:135" ht="15" customHeight="1" thickBot="1" x14ac:dyDescent="0.35">
      <c r="A5" s="57" t="s">
        <v>173</v>
      </c>
      <c r="B5" s="61"/>
      <c r="C5" s="61"/>
      <c r="D5" s="61"/>
      <c r="E5" s="61"/>
      <c r="F5" s="61"/>
      <c r="G5" s="42">
        <v>97</v>
      </c>
      <c r="H5" s="61"/>
      <c r="I5" s="61"/>
      <c r="J5" s="61"/>
      <c r="K5" s="61"/>
      <c r="L5" s="61"/>
      <c r="M5" s="61">
        <v>83</v>
      </c>
      <c r="N5" s="61">
        <f>G5+M5</f>
        <v>180</v>
      </c>
      <c r="O5" s="41"/>
      <c r="P5" s="67">
        <f>N5</f>
        <v>180</v>
      </c>
      <c r="Q5" s="67">
        <f>N5/2</f>
        <v>90</v>
      </c>
      <c r="R5" s="67">
        <f>P5/3</f>
        <v>60</v>
      </c>
      <c r="S5" s="67">
        <f>P5/4</f>
        <v>45</v>
      </c>
      <c r="T5" s="67">
        <f>P5/5</f>
        <v>36</v>
      </c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3"/>
      <c r="DF5" s="63"/>
      <c r="DG5" s="63"/>
      <c r="DH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3"/>
      <c r="EC5" s="63"/>
      <c r="ED5" s="63"/>
      <c r="EE5" s="63"/>
    </row>
    <row r="6" spans="1:135" ht="15" customHeight="1" thickBot="1" x14ac:dyDescent="0.35">
      <c r="A6" s="58" t="s">
        <v>174</v>
      </c>
      <c r="B6" s="61"/>
      <c r="C6" s="61"/>
      <c r="D6" s="61"/>
      <c r="E6" s="61"/>
      <c r="F6" s="61"/>
      <c r="G6" s="42">
        <v>100</v>
      </c>
      <c r="H6" s="61"/>
      <c r="I6" s="61"/>
      <c r="J6" s="61"/>
      <c r="K6" s="61"/>
      <c r="L6" s="61"/>
      <c r="M6" s="61">
        <v>117</v>
      </c>
      <c r="N6" s="61">
        <f t="shared" ref="N6:N34" si="0">G6+M6</f>
        <v>217</v>
      </c>
      <c r="O6" s="41"/>
      <c r="P6" s="67">
        <f t="shared" ref="P6:P34" si="1">N6</f>
        <v>217</v>
      </c>
      <c r="Q6" s="67">
        <f t="shared" ref="Q6:Q34" si="2">N6/2</f>
        <v>108.5</v>
      </c>
      <c r="R6" s="67">
        <f t="shared" ref="R6:R34" si="3">P6/3</f>
        <v>72.333333333333329</v>
      </c>
      <c r="S6" s="67">
        <f t="shared" ref="S6:S34" si="4">P6/4</f>
        <v>54.25</v>
      </c>
      <c r="T6" s="67">
        <f t="shared" ref="T6:T34" si="5">P6/5</f>
        <v>43.4</v>
      </c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J6" s="63"/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</row>
    <row r="7" spans="1:135" ht="15" customHeight="1" thickBot="1" x14ac:dyDescent="0.35">
      <c r="A7" s="58" t="s">
        <v>175</v>
      </c>
      <c r="B7" s="61"/>
      <c r="C7" s="61"/>
      <c r="D7" s="61"/>
      <c r="E7" s="61"/>
      <c r="F7" s="61"/>
      <c r="G7" s="42">
        <v>98</v>
      </c>
      <c r="H7" s="61"/>
      <c r="I7" s="61"/>
      <c r="J7" s="61"/>
      <c r="K7" s="61"/>
      <c r="L7" s="61"/>
      <c r="M7" s="61">
        <v>175</v>
      </c>
      <c r="N7" s="61">
        <f t="shared" si="0"/>
        <v>273</v>
      </c>
      <c r="O7" s="41"/>
      <c r="P7" s="67">
        <f t="shared" si="1"/>
        <v>273</v>
      </c>
      <c r="Q7" s="67">
        <f t="shared" si="2"/>
        <v>136.5</v>
      </c>
      <c r="R7" s="67">
        <f t="shared" si="3"/>
        <v>91</v>
      </c>
      <c r="S7" s="67">
        <f t="shared" si="4"/>
        <v>68.25</v>
      </c>
      <c r="T7" s="67">
        <f t="shared" si="5"/>
        <v>54.6</v>
      </c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M7" s="63"/>
      <c r="CN7" s="63"/>
      <c r="CO7" s="63"/>
      <c r="CP7" s="63"/>
      <c r="CQ7" s="63"/>
      <c r="CR7" s="63"/>
      <c r="CS7" s="63"/>
      <c r="CT7" s="63"/>
      <c r="CU7" s="63"/>
      <c r="CV7" s="63"/>
      <c r="CW7" s="63"/>
      <c r="CX7" s="63"/>
      <c r="CY7" s="63"/>
      <c r="CZ7" s="63"/>
      <c r="DA7" s="63"/>
      <c r="DB7" s="63"/>
      <c r="DC7" s="63"/>
      <c r="DD7" s="63"/>
      <c r="DE7" s="63"/>
      <c r="DF7" s="63"/>
      <c r="DG7" s="63"/>
      <c r="DH7" s="63"/>
      <c r="DJ7" s="63"/>
      <c r="DK7" s="63"/>
      <c r="DL7" s="63"/>
      <c r="DM7" s="63"/>
      <c r="DN7" s="63"/>
      <c r="DO7" s="63"/>
      <c r="DP7" s="63"/>
      <c r="DQ7" s="63"/>
      <c r="DR7" s="63"/>
      <c r="DS7" s="63"/>
      <c r="DT7" s="63"/>
      <c r="DU7" s="63"/>
      <c r="DV7" s="63"/>
      <c r="DW7" s="63"/>
      <c r="DX7" s="63"/>
      <c r="DY7" s="63"/>
      <c r="DZ7" s="63"/>
      <c r="EA7" s="63"/>
      <c r="EB7" s="63"/>
      <c r="EC7" s="63"/>
      <c r="ED7" s="63"/>
      <c r="EE7" s="63"/>
    </row>
    <row r="8" spans="1:135" ht="15" customHeight="1" thickBot="1" x14ac:dyDescent="0.35">
      <c r="A8" s="58" t="s">
        <v>176</v>
      </c>
      <c r="B8" s="61"/>
      <c r="C8" s="61"/>
      <c r="D8" s="61"/>
      <c r="E8" s="61"/>
      <c r="F8" s="61"/>
      <c r="G8" s="42">
        <v>37</v>
      </c>
      <c r="H8" s="61"/>
      <c r="I8" s="61"/>
      <c r="J8" s="61"/>
      <c r="K8" s="61"/>
      <c r="L8" s="61"/>
      <c r="M8" s="61">
        <v>31</v>
      </c>
      <c r="N8" s="61">
        <f t="shared" si="0"/>
        <v>68</v>
      </c>
      <c r="O8" s="41"/>
      <c r="P8" s="67">
        <f t="shared" si="1"/>
        <v>68</v>
      </c>
      <c r="Q8" s="67">
        <f t="shared" si="2"/>
        <v>34</v>
      </c>
      <c r="R8" s="67">
        <f t="shared" si="3"/>
        <v>22.666666666666668</v>
      </c>
      <c r="S8" s="67">
        <f t="shared" si="4"/>
        <v>17</v>
      </c>
      <c r="T8" s="67">
        <f t="shared" si="5"/>
        <v>13.6</v>
      </c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3"/>
      <c r="DD8" s="63"/>
      <c r="DE8" s="63"/>
      <c r="DF8" s="63"/>
      <c r="DG8" s="63"/>
      <c r="DH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</row>
    <row r="9" spans="1:135" ht="15" customHeight="1" thickBot="1" x14ac:dyDescent="0.35">
      <c r="A9" s="58" t="s">
        <v>177</v>
      </c>
      <c r="B9" s="61"/>
      <c r="C9" s="61"/>
      <c r="D9" s="61"/>
      <c r="E9" s="61"/>
      <c r="F9" s="61"/>
      <c r="G9" s="42">
        <v>93</v>
      </c>
      <c r="H9" s="61"/>
      <c r="I9" s="61"/>
      <c r="J9" s="61"/>
      <c r="K9" s="61"/>
      <c r="L9" s="61"/>
      <c r="M9" s="61">
        <v>27</v>
      </c>
      <c r="N9" s="61">
        <f t="shared" si="0"/>
        <v>120</v>
      </c>
      <c r="O9" s="41"/>
      <c r="P9" s="67">
        <f t="shared" si="1"/>
        <v>120</v>
      </c>
      <c r="Q9" s="67">
        <f t="shared" si="2"/>
        <v>60</v>
      </c>
      <c r="R9" s="67">
        <f t="shared" si="3"/>
        <v>40</v>
      </c>
      <c r="S9" s="67">
        <f t="shared" si="4"/>
        <v>30</v>
      </c>
      <c r="T9" s="67">
        <f t="shared" si="5"/>
        <v>24</v>
      </c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</row>
    <row r="10" spans="1:135" ht="15" customHeight="1" thickBot="1" x14ac:dyDescent="0.35">
      <c r="A10" s="58" t="s">
        <v>178</v>
      </c>
      <c r="B10" s="61"/>
      <c r="C10" s="61"/>
      <c r="D10" s="61"/>
      <c r="E10" s="61"/>
      <c r="F10" s="61"/>
      <c r="G10" s="42">
        <v>43</v>
      </c>
      <c r="H10" s="61"/>
      <c r="I10" s="61"/>
      <c r="J10" s="61"/>
      <c r="K10" s="61"/>
      <c r="L10" s="61"/>
      <c r="M10" s="61">
        <v>75</v>
      </c>
      <c r="N10" s="61">
        <f t="shared" si="0"/>
        <v>118</v>
      </c>
      <c r="O10" s="41"/>
      <c r="P10" s="67">
        <f t="shared" si="1"/>
        <v>118</v>
      </c>
      <c r="Q10" s="67">
        <f t="shared" si="2"/>
        <v>59</v>
      </c>
      <c r="R10" s="67">
        <f t="shared" si="3"/>
        <v>39.333333333333336</v>
      </c>
      <c r="S10" s="67">
        <f t="shared" si="4"/>
        <v>29.5</v>
      </c>
      <c r="T10" s="67">
        <f t="shared" si="5"/>
        <v>23.6</v>
      </c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</row>
    <row r="11" spans="1:135" ht="15" customHeight="1" thickBot="1" x14ac:dyDescent="0.35">
      <c r="A11" s="58" t="s">
        <v>179</v>
      </c>
      <c r="B11" s="61"/>
      <c r="C11" s="61"/>
      <c r="D11" s="61"/>
      <c r="E11" s="61"/>
      <c r="F11" s="61"/>
      <c r="G11" s="42">
        <v>134</v>
      </c>
      <c r="H11" s="61"/>
      <c r="I11" s="61"/>
      <c r="J11" s="61"/>
      <c r="K11" s="61"/>
      <c r="L11" s="61"/>
      <c r="M11" s="61">
        <v>70</v>
      </c>
      <c r="N11" s="61">
        <f t="shared" si="0"/>
        <v>204</v>
      </c>
      <c r="O11" s="41"/>
      <c r="P11" s="67">
        <f t="shared" si="1"/>
        <v>204</v>
      </c>
      <c r="Q11" s="67">
        <f t="shared" si="2"/>
        <v>102</v>
      </c>
      <c r="R11" s="67">
        <f t="shared" si="3"/>
        <v>68</v>
      </c>
      <c r="S11" s="67">
        <f t="shared" si="4"/>
        <v>51</v>
      </c>
      <c r="T11" s="67">
        <f t="shared" si="5"/>
        <v>40.799999999999997</v>
      </c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3"/>
      <c r="DD11" s="63"/>
      <c r="DE11" s="63"/>
      <c r="DF11" s="63"/>
      <c r="DG11" s="63"/>
      <c r="DH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</row>
    <row r="12" spans="1:135" ht="15" customHeight="1" thickBot="1" x14ac:dyDescent="0.35">
      <c r="A12" s="58" t="s">
        <v>180</v>
      </c>
      <c r="B12" s="61"/>
      <c r="C12" s="61"/>
      <c r="D12" s="61"/>
      <c r="E12" s="61"/>
      <c r="F12" s="61"/>
      <c r="G12" s="42">
        <v>76</v>
      </c>
      <c r="H12" s="61"/>
      <c r="I12" s="61"/>
      <c r="J12" s="61"/>
      <c r="K12" s="61"/>
      <c r="L12" s="61"/>
      <c r="M12" s="61">
        <v>124</v>
      </c>
      <c r="N12" s="61">
        <f t="shared" si="0"/>
        <v>200</v>
      </c>
      <c r="O12" s="41"/>
      <c r="P12" s="67">
        <f t="shared" si="1"/>
        <v>200</v>
      </c>
      <c r="Q12" s="67">
        <f t="shared" si="2"/>
        <v>100</v>
      </c>
      <c r="R12" s="67">
        <f t="shared" si="3"/>
        <v>66.666666666666671</v>
      </c>
      <c r="S12" s="67">
        <f t="shared" si="4"/>
        <v>50</v>
      </c>
      <c r="T12" s="67">
        <f t="shared" si="5"/>
        <v>40</v>
      </c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</row>
    <row r="13" spans="1:135" ht="15" customHeight="1" thickBot="1" x14ac:dyDescent="0.35">
      <c r="A13" s="58" t="s">
        <v>181</v>
      </c>
      <c r="B13" s="61"/>
      <c r="C13" s="61"/>
      <c r="D13" s="61"/>
      <c r="E13" s="61"/>
      <c r="F13" s="61"/>
      <c r="G13" s="42">
        <v>91</v>
      </c>
      <c r="H13" s="61"/>
      <c r="I13" s="61"/>
      <c r="J13" s="61"/>
      <c r="K13" s="61"/>
      <c r="L13" s="61"/>
      <c r="M13" s="61">
        <v>175</v>
      </c>
      <c r="N13" s="61">
        <f t="shared" si="0"/>
        <v>266</v>
      </c>
      <c r="O13" s="41"/>
      <c r="P13" s="67">
        <f t="shared" si="1"/>
        <v>266</v>
      </c>
      <c r="Q13" s="67">
        <f t="shared" si="2"/>
        <v>133</v>
      </c>
      <c r="R13" s="67">
        <f t="shared" si="3"/>
        <v>88.666666666666671</v>
      </c>
      <c r="S13" s="67">
        <f t="shared" si="4"/>
        <v>66.5</v>
      </c>
      <c r="T13" s="67">
        <f t="shared" si="5"/>
        <v>53.2</v>
      </c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M13" s="63"/>
      <c r="CN13" s="63"/>
      <c r="CO13" s="63"/>
      <c r="CP13" s="63"/>
      <c r="CQ13" s="63"/>
      <c r="CR13" s="63"/>
      <c r="CS13" s="63"/>
      <c r="CT13" s="63"/>
      <c r="CU13" s="63"/>
      <c r="CV13" s="63"/>
      <c r="CW13" s="63"/>
      <c r="CX13" s="63"/>
      <c r="CY13" s="63"/>
      <c r="CZ13" s="63"/>
      <c r="DA13" s="63"/>
      <c r="DB13" s="63"/>
      <c r="DC13" s="63"/>
      <c r="DD13" s="63"/>
      <c r="DE13" s="63"/>
      <c r="DF13" s="63"/>
      <c r="DG13" s="63"/>
      <c r="DH13" s="63"/>
      <c r="DJ13" s="63"/>
      <c r="DK13" s="63"/>
      <c r="DL13" s="63"/>
      <c r="DM13" s="63"/>
      <c r="DN13" s="63"/>
      <c r="DO13" s="63"/>
      <c r="DP13" s="63"/>
      <c r="DQ13" s="63"/>
      <c r="DR13" s="63"/>
      <c r="DS13" s="63"/>
      <c r="DT13" s="63"/>
      <c r="DU13" s="63"/>
      <c r="DV13" s="63"/>
      <c r="DW13" s="63"/>
      <c r="DX13" s="63"/>
      <c r="DY13" s="63"/>
      <c r="DZ13" s="63"/>
      <c r="EA13" s="63"/>
      <c r="EB13" s="63"/>
      <c r="EC13" s="63"/>
      <c r="ED13" s="63"/>
      <c r="EE13" s="63"/>
    </row>
    <row r="14" spans="1:135" ht="15" customHeight="1" thickBot="1" x14ac:dyDescent="0.35">
      <c r="A14" s="58" t="s">
        <v>182</v>
      </c>
      <c r="B14" s="61"/>
      <c r="C14" s="61"/>
      <c r="D14" s="61"/>
      <c r="E14" s="61"/>
      <c r="F14" s="61"/>
      <c r="G14" s="42">
        <v>40</v>
      </c>
      <c r="H14" s="61"/>
      <c r="I14" s="61"/>
      <c r="J14" s="61"/>
      <c r="K14" s="61"/>
      <c r="L14" s="61"/>
      <c r="M14" s="61">
        <v>46</v>
      </c>
      <c r="N14" s="61">
        <f t="shared" si="0"/>
        <v>86</v>
      </c>
      <c r="O14" s="41"/>
      <c r="P14" s="67">
        <f t="shared" si="1"/>
        <v>86</v>
      </c>
      <c r="Q14" s="67">
        <f t="shared" si="2"/>
        <v>43</v>
      </c>
      <c r="R14" s="67">
        <f t="shared" si="3"/>
        <v>28.666666666666668</v>
      </c>
      <c r="S14" s="67">
        <f t="shared" si="4"/>
        <v>21.5</v>
      </c>
      <c r="T14" s="67">
        <f t="shared" si="5"/>
        <v>17.2</v>
      </c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</row>
    <row r="15" spans="1:135" ht="15" customHeight="1" thickBot="1" x14ac:dyDescent="0.35">
      <c r="A15" s="58" t="s">
        <v>183</v>
      </c>
      <c r="B15" s="61"/>
      <c r="C15" s="61"/>
      <c r="D15" s="61"/>
      <c r="E15" s="61"/>
      <c r="F15" s="61"/>
      <c r="G15" s="42">
        <v>56</v>
      </c>
      <c r="H15" s="61"/>
      <c r="I15" s="61"/>
      <c r="J15" s="61"/>
      <c r="K15" s="61"/>
      <c r="L15" s="61"/>
      <c r="M15" s="61">
        <v>35</v>
      </c>
      <c r="N15" s="61">
        <f t="shared" si="0"/>
        <v>91</v>
      </c>
      <c r="O15" s="41"/>
      <c r="P15" s="67">
        <f t="shared" si="1"/>
        <v>91</v>
      </c>
      <c r="Q15" s="67">
        <f t="shared" si="2"/>
        <v>45.5</v>
      </c>
      <c r="R15" s="67">
        <f t="shared" si="3"/>
        <v>30.333333333333332</v>
      </c>
      <c r="S15" s="67">
        <f t="shared" si="4"/>
        <v>22.75</v>
      </c>
      <c r="T15" s="67">
        <f t="shared" si="5"/>
        <v>18.2</v>
      </c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</row>
    <row r="16" spans="1:135" ht="15" customHeight="1" thickBot="1" x14ac:dyDescent="0.35">
      <c r="A16" s="58" t="s">
        <v>184</v>
      </c>
      <c r="B16" s="61"/>
      <c r="C16" s="61"/>
      <c r="D16" s="61"/>
      <c r="E16" s="61"/>
      <c r="F16" s="61"/>
      <c r="G16" s="42">
        <v>54</v>
      </c>
      <c r="H16" s="61"/>
      <c r="I16" s="61"/>
      <c r="J16" s="61"/>
      <c r="K16" s="61"/>
      <c r="L16" s="61"/>
      <c r="M16" s="61">
        <v>23</v>
      </c>
      <c r="N16" s="61">
        <f t="shared" si="0"/>
        <v>77</v>
      </c>
      <c r="O16" s="41"/>
      <c r="P16" s="67">
        <f t="shared" si="1"/>
        <v>77</v>
      </c>
      <c r="Q16" s="67">
        <f t="shared" si="2"/>
        <v>38.5</v>
      </c>
      <c r="R16" s="67">
        <f t="shared" si="3"/>
        <v>25.666666666666668</v>
      </c>
      <c r="S16" s="67">
        <f t="shared" si="4"/>
        <v>19.25</v>
      </c>
      <c r="T16" s="67">
        <f t="shared" si="5"/>
        <v>15.4</v>
      </c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</row>
    <row r="17" spans="1:135" ht="15" customHeight="1" thickBot="1" x14ac:dyDescent="0.35">
      <c r="A17" s="58" t="s">
        <v>185</v>
      </c>
      <c r="B17" s="61"/>
      <c r="C17" s="61"/>
      <c r="D17" s="61"/>
      <c r="E17" s="61"/>
      <c r="F17" s="61"/>
      <c r="G17" s="42">
        <v>144</v>
      </c>
      <c r="H17" s="61"/>
      <c r="I17" s="61"/>
      <c r="J17" s="61"/>
      <c r="K17" s="61"/>
      <c r="L17" s="61"/>
      <c r="M17" s="61">
        <v>108</v>
      </c>
      <c r="N17" s="61">
        <f t="shared" si="0"/>
        <v>252</v>
      </c>
      <c r="O17" s="41"/>
      <c r="P17" s="67">
        <f t="shared" si="1"/>
        <v>252</v>
      </c>
      <c r="Q17" s="67">
        <f t="shared" si="2"/>
        <v>126</v>
      </c>
      <c r="R17" s="67">
        <f t="shared" si="3"/>
        <v>84</v>
      </c>
      <c r="S17" s="67">
        <f t="shared" si="4"/>
        <v>63</v>
      </c>
      <c r="T17" s="67">
        <f t="shared" si="5"/>
        <v>50.4</v>
      </c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</row>
    <row r="18" spans="1:135" ht="15" customHeight="1" thickBot="1" x14ac:dyDescent="0.35">
      <c r="A18" s="58" t="s">
        <v>186</v>
      </c>
      <c r="B18" s="61"/>
      <c r="C18" s="61"/>
      <c r="D18" s="61"/>
      <c r="E18" s="61"/>
      <c r="F18" s="61"/>
      <c r="G18" s="42">
        <v>61</v>
      </c>
      <c r="H18" s="61"/>
      <c r="I18" s="61"/>
      <c r="J18" s="61"/>
      <c r="K18" s="61"/>
      <c r="L18" s="61"/>
      <c r="M18" s="61">
        <v>77</v>
      </c>
      <c r="N18" s="61">
        <f t="shared" si="0"/>
        <v>138</v>
      </c>
      <c r="O18" s="41"/>
      <c r="P18" s="67">
        <f t="shared" si="1"/>
        <v>138</v>
      </c>
      <c r="Q18" s="67">
        <f t="shared" si="2"/>
        <v>69</v>
      </c>
      <c r="R18" s="67">
        <f t="shared" si="3"/>
        <v>46</v>
      </c>
      <c r="S18" s="67">
        <f t="shared" si="4"/>
        <v>34.5</v>
      </c>
      <c r="T18" s="67">
        <f t="shared" si="5"/>
        <v>27.6</v>
      </c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</row>
    <row r="19" spans="1:135" ht="15" customHeight="1" thickBot="1" x14ac:dyDescent="0.35">
      <c r="A19" s="58" t="s">
        <v>187</v>
      </c>
      <c r="B19" s="61"/>
      <c r="C19" s="61"/>
      <c r="D19" s="61"/>
      <c r="E19" s="61"/>
      <c r="F19" s="61"/>
      <c r="G19" s="42">
        <v>55</v>
      </c>
      <c r="H19" s="61"/>
      <c r="I19" s="61"/>
      <c r="J19" s="61"/>
      <c r="K19" s="61"/>
      <c r="L19" s="61"/>
      <c r="M19" s="61">
        <v>79</v>
      </c>
      <c r="N19" s="61">
        <f t="shared" si="0"/>
        <v>134</v>
      </c>
      <c r="O19" s="41"/>
      <c r="P19" s="67">
        <f t="shared" si="1"/>
        <v>134</v>
      </c>
      <c r="Q19" s="67">
        <f t="shared" si="2"/>
        <v>67</v>
      </c>
      <c r="R19" s="67">
        <f t="shared" si="3"/>
        <v>44.666666666666664</v>
      </c>
      <c r="S19" s="67">
        <f t="shared" si="4"/>
        <v>33.5</v>
      </c>
      <c r="T19" s="67">
        <f t="shared" si="5"/>
        <v>26.8</v>
      </c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</row>
    <row r="20" spans="1:135" ht="15" customHeight="1" thickBot="1" x14ac:dyDescent="0.35">
      <c r="A20" s="58" t="s">
        <v>188</v>
      </c>
      <c r="B20" s="61"/>
      <c r="C20" s="61"/>
      <c r="D20" s="61"/>
      <c r="E20" s="61"/>
      <c r="F20" s="61"/>
      <c r="G20" s="42">
        <v>102</v>
      </c>
      <c r="H20" s="61"/>
      <c r="I20" s="61"/>
      <c r="J20" s="61"/>
      <c r="K20" s="61"/>
      <c r="L20" s="61"/>
      <c r="M20" s="61">
        <v>101</v>
      </c>
      <c r="N20" s="61">
        <f t="shared" si="0"/>
        <v>203</v>
      </c>
      <c r="O20" s="41"/>
      <c r="P20" s="67">
        <f t="shared" si="1"/>
        <v>203</v>
      </c>
      <c r="Q20" s="67">
        <f t="shared" si="2"/>
        <v>101.5</v>
      </c>
      <c r="R20" s="67">
        <f t="shared" si="3"/>
        <v>67.666666666666671</v>
      </c>
      <c r="S20" s="67">
        <f t="shared" si="4"/>
        <v>50.75</v>
      </c>
      <c r="T20" s="67">
        <f t="shared" si="5"/>
        <v>40.6</v>
      </c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M20" s="63"/>
      <c r="CN20" s="63"/>
      <c r="CO20" s="63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3"/>
      <c r="DA20" s="63"/>
      <c r="DB20" s="63"/>
      <c r="DC20" s="63"/>
      <c r="DD20" s="63"/>
      <c r="DE20" s="63"/>
      <c r="DF20" s="63"/>
      <c r="DG20" s="63"/>
      <c r="DH20" s="63"/>
      <c r="DJ20" s="63"/>
      <c r="DK20" s="63"/>
      <c r="DL20" s="63"/>
      <c r="DM20" s="63"/>
      <c r="DN20" s="63"/>
      <c r="DO20" s="63"/>
      <c r="DP20" s="63"/>
      <c r="DQ20" s="63"/>
      <c r="DR20" s="63"/>
      <c r="DS20" s="63"/>
      <c r="DT20" s="63"/>
      <c r="DU20" s="63"/>
      <c r="DV20" s="63"/>
      <c r="DW20" s="63"/>
      <c r="DX20" s="63"/>
      <c r="DY20" s="63"/>
      <c r="DZ20" s="63"/>
      <c r="EA20" s="63"/>
      <c r="EB20" s="63"/>
      <c r="EC20" s="63"/>
      <c r="ED20" s="63"/>
      <c r="EE20" s="63"/>
    </row>
    <row r="21" spans="1:135" ht="15" customHeight="1" thickBot="1" x14ac:dyDescent="0.35">
      <c r="A21" s="58" t="s">
        <v>189</v>
      </c>
      <c r="B21" s="61"/>
      <c r="C21" s="61"/>
      <c r="D21" s="61"/>
      <c r="E21" s="61"/>
      <c r="F21" s="61"/>
      <c r="G21" s="42">
        <v>41</v>
      </c>
      <c r="H21" s="61"/>
      <c r="I21" s="61"/>
      <c r="J21" s="61"/>
      <c r="K21" s="61"/>
      <c r="L21" s="61"/>
      <c r="M21" s="61">
        <v>54</v>
      </c>
      <c r="N21" s="61">
        <f t="shared" si="0"/>
        <v>95</v>
      </c>
      <c r="O21" s="41"/>
      <c r="P21" s="67">
        <f t="shared" si="1"/>
        <v>95</v>
      </c>
      <c r="Q21" s="67">
        <f t="shared" si="2"/>
        <v>47.5</v>
      </c>
      <c r="R21" s="67">
        <f t="shared" si="3"/>
        <v>31.666666666666668</v>
      </c>
      <c r="S21" s="67">
        <f t="shared" si="4"/>
        <v>23.75</v>
      </c>
      <c r="T21" s="67">
        <f t="shared" si="5"/>
        <v>19</v>
      </c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3"/>
      <c r="DD21" s="63"/>
      <c r="DE21" s="63"/>
      <c r="DF21" s="63"/>
      <c r="DG21" s="63"/>
      <c r="DH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</row>
    <row r="22" spans="1:135" ht="15" customHeight="1" thickBot="1" x14ac:dyDescent="0.35">
      <c r="A22" s="58" t="s">
        <v>190</v>
      </c>
      <c r="B22" s="61"/>
      <c r="C22" s="61"/>
      <c r="D22" s="61"/>
      <c r="E22" s="61"/>
      <c r="F22" s="61"/>
      <c r="G22" s="42">
        <v>30</v>
      </c>
      <c r="H22" s="61"/>
      <c r="I22" s="61"/>
      <c r="J22" s="61"/>
      <c r="K22" s="61"/>
      <c r="L22" s="61"/>
      <c r="M22" s="61">
        <v>18</v>
      </c>
      <c r="N22" s="61">
        <f t="shared" si="0"/>
        <v>48</v>
      </c>
      <c r="O22" s="41"/>
      <c r="P22" s="67">
        <f t="shared" si="1"/>
        <v>48</v>
      </c>
      <c r="Q22" s="67">
        <f t="shared" si="2"/>
        <v>24</v>
      </c>
      <c r="R22" s="67">
        <f t="shared" si="3"/>
        <v>16</v>
      </c>
      <c r="S22" s="67">
        <f t="shared" si="4"/>
        <v>12</v>
      </c>
      <c r="T22" s="67">
        <f t="shared" si="5"/>
        <v>9.6</v>
      </c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3"/>
      <c r="DD22" s="63"/>
      <c r="DE22" s="63"/>
      <c r="DF22" s="63"/>
      <c r="DG22" s="63"/>
      <c r="DH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</row>
    <row r="23" spans="1:135" ht="15" customHeight="1" thickBot="1" x14ac:dyDescent="0.35">
      <c r="A23" s="58" t="s">
        <v>191</v>
      </c>
      <c r="B23" s="61"/>
      <c r="C23" s="61"/>
      <c r="D23" s="61"/>
      <c r="E23" s="61"/>
      <c r="F23" s="61"/>
      <c r="G23" s="42">
        <v>213</v>
      </c>
      <c r="H23" s="61"/>
      <c r="I23" s="61"/>
      <c r="J23" s="61"/>
      <c r="K23" s="61"/>
      <c r="L23" s="61"/>
      <c r="M23" s="61">
        <v>203</v>
      </c>
      <c r="N23" s="61">
        <f t="shared" si="0"/>
        <v>416</v>
      </c>
      <c r="O23" s="41"/>
      <c r="P23" s="67">
        <f t="shared" si="1"/>
        <v>416</v>
      </c>
      <c r="Q23" s="67">
        <f t="shared" si="2"/>
        <v>208</v>
      </c>
      <c r="R23" s="67">
        <f t="shared" si="3"/>
        <v>138.66666666666666</v>
      </c>
      <c r="S23" s="67">
        <f t="shared" si="4"/>
        <v>104</v>
      </c>
      <c r="T23" s="67">
        <f t="shared" si="5"/>
        <v>83.2</v>
      </c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M23" s="63"/>
      <c r="CN23" s="63"/>
      <c r="CO23" s="63"/>
      <c r="CP23" s="63"/>
      <c r="CQ23" s="63"/>
      <c r="CR23" s="63"/>
      <c r="CS23" s="63"/>
      <c r="CT23" s="63"/>
      <c r="CU23" s="63"/>
      <c r="CV23" s="63"/>
      <c r="CW23" s="63"/>
      <c r="CX23" s="63"/>
      <c r="CY23" s="63"/>
      <c r="CZ23" s="63"/>
      <c r="DA23" s="63"/>
      <c r="DB23" s="63"/>
      <c r="DC23" s="63"/>
      <c r="DD23" s="63"/>
      <c r="DE23" s="63"/>
      <c r="DF23" s="63"/>
      <c r="DG23" s="63"/>
      <c r="DH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</row>
    <row r="24" spans="1:135" ht="15" customHeight="1" thickBot="1" x14ac:dyDescent="0.35">
      <c r="A24" s="59" t="s">
        <v>192</v>
      </c>
      <c r="B24" s="62"/>
      <c r="C24" s="62"/>
      <c r="D24" s="61"/>
      <c r="E24" s="61"/>
      <c r="F24" s="61"/>
      <c r="G24" s="42">
        <v>59</v>
      </c>
      <c r="H24" s="62"/>
      <c r="I24" s="62"/>
      <c r="J24" s="61"/>
      <c r="K24" s="61"/>
      <c r="L24" s="61"/>
      <c r="M24" s="61">
        <v>16</v>
      </c>
      <c r="N24" s="61">
        <f t="shared" si="0"/>
        <v>75</v>
      </c>
      <c r="O24" s="41"/>
      <c r="P24" s="67">
        <f t="shared" si="1"/>
        <v>75</v>
      </c>
      <c r="Q24" s="67">
        <f t="shared" si="2"/>
        <v>37.5</v>
      </c>
      <c r="R24" s="67">
        <f t="shared" si="3"/>
        <v>25</v>
      </c>
      <c r="S24" s="67">
        <f t="shared" si="4"/>
        <v>18.75</v>
      </c>
      <c r="T24" s="67">
        <f t="shared" si="5"/>
        <v>15</v>
      </c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3"/>
      <c r="DD24" s="63"/>
      <c r="DE24" s="63"/>
      <c r="DF24" s="63"/>
      <c r="DG24" s="63"/>
      <c r="DH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</row>
    <row r="25" spans="1:135" ht="15" customHeight="1" thickBot="1" x14ac:dyDescent="0.35">
      <c r="A25" s="60" t="s">
        <v>193</v>
      </c>
      <c r="B25" s="62"/>
      <c r="C25" s="62"/>
      <c r="D25" s="61"/>
      <c r="E25" s="61"/>
      <c r="F25" s="61"/>
      <c r="G25" s="42">
        <v>80</v>
      </c>
      <c r="H25" s="62"/>
      <c r="I25" s="62"/>
      <c r="J25" s="61"/>
      <c r="K25" s="61"/>
      <c r="L25" s="61"/>
      <c r="M25" s="61">
        <v>14</v>
      </c>
      <c r="N25" s="61">
        <f t="shared" si="0"/>
        <v>94</v>
      </c>
      <c r="O25" s="41"/>
      <c r="P25" s="67">
        <f t="shared" si="1"/>
        <v>94</v>
      </c>
      <c r="Q25" s="67">
        <f t="shared" si="2"/>
        <v>47</v>
      </c>
      <c r="R25" s="67">
        <f t="shared" si="3"/>
        <v>31.333333333333332</v>
      </c>
      <c r="S25" s="67">
        <f t="shared" si="4"/>
        <v>23.5</v>
      </c>
      <c r="T25" s="67">
        <f t="shared" si="5"/>
        <v>18.8</v>
      </c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3"/>
      <c r="DD25" s="63"/>
      <c r="DE25" s="63"/>
      <c r="DF25" s="63"/>
      <c r="DG25" s="63"/>
      <c r="DH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</row>
    <row r="26" spans="1:135" ht="15" customHeight="1" thickBot="1" x14ac:dyDescent="0.35">
      <c r="A26" s="60" t="s">
        <v>194</v>
      </c>
      <c r="B26" s="62"/>
      <c r="C26" s="62"/>
      <c r="D26" s="61"/>
      <c r="E26" s="61"/>
      <c r="F26" s="61"/>
      <c r="G26" s="42">
        <v>45</v>
      </c>
      <c r="H26" s="62"/>
      <c r="I26" s="62"/>
      <c r="J26" s="61"/>
      <c r="K26" s="61"/>
      <c r="L26" s="61"/>
      <c r="M26" s="61">
        <v>15</v>
      </c>
      <c r="N26" s="61">
        <f t="shared" si="0"/>
        <v>60</v>
      </c>
      <c r="O26" s="41"/>
      <c r="P26" s="67">
        <f t="shared" si="1"/>
        <v>60</v>
      </c>
      <c r="Q26" s="67">
        <f t="shared" si="2"/>
        <v>30</v>
      </c>
      <c r="R26" s="67">
        <f t="shared" si="3"/>
        <v>20</v>
      </c>
      <c r="S26" s="67">
        <f t="shared" si="4"/>
        <v>15</v>
      </c>
      <c r="T26" s="67">
        <f t="shared" si="5"/>
        <v>12</v>
      </c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</row>
    <row r="27" spans="1:135" ht="15" customHeight="1" thickBot="1" x14ac:dyDescent="0.35">
      <c r="A27" s="60" t="s">
        <v>195</v>
      </c>
      <c r="B27" s="62"/>
      <c r="C27" s="62"/>
      <c r="D27" s="61"/>
      <c r="E27" s="61"/>
      <c r="F27" s="61"/>
      <c r="G27" s="42">
        <v>43</v>
      </c>
      <c r="H27" s="62"/>
      <c r="I27" s="62"/>
      <c r="J27" s="61"/>
      <c r="K27" s="61"/>
      <c r="L27" s="61"/>
      <c r="M27" s="61">
        <v>18</v>
      </c>
      <c r="N27" s="61">
        <f t="shared" si="0"/>
        <v>61</v>
      </c>
      <c r="O27" s="41"/>
      <c r="P27" s="67">
        <f t="shared" si="1"/>
        <v>61</v>
      </c>
      <c r="Q27" s="67">
        <f t="shared" si="2"/>
        <v>30.5</v>
      </c>
      <c r="R27" s="67">
        <f t="shared" si="3"/>
        <v>20.333333333333332</v>
      </c>
      <c r="S27" s="67">
        <f t="shared" si="4"/>
        <v>15.25</v>
      </c>
      <c r="T27" s="67">
        <f t="shared" si="5"/>
        <v>12.2</v>
      </c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  <c r="CK27" s="63"/>
      <c r="CM27" s="63"/>
      <c r="CN27" s="63"/>
      <c r="CO27" s="63"/>
      <c r="CP27" s="63"/>
      <c r="CQ27" s="63"/>
      <c r="CR27" s="63"/>
      <c r="CS27" s="63"/>
      <c r="CT27" s="63"/>
      <c r="CU27" s="63"/>
      <c r="CV27" s="63"/>
      <c r="CW27" s="63"/>
      <c r="CX27" s="63"/>
      <c r="CY27" s="63"/>
      <c r="CZ27" s="63"/>
      <c r="DA27" s="63"/>
      <c r="DB27" s="63"/>
      <c r="DC27" s="63"/>
      <c r="DD27" s="63"/>
      <c r="DE27" s="63"/>
      <c r="DF27" s="63"/>
      <c r="DG27" s="63"/>
      <c r="DH27" s="63"/>
      <c r="DJ27" s="63"/>
      <c r="DK27" s="63"/>
      <c r="DL27" s="63"/>
      <c r="DM27" s="63"/>
      <c r="DN27" s="63"/>
      <c r="DO27" s="63"/>
      <c r="DP27" s="63"/>
      <c r="DQ27" s="63"/>
      <c r="DR27" s="63"/>
      <c r="DS27" s="63"/>
      <c r="DT27" s="63"/>
      <c r="DU27" s="63"/>
      <c r="DV27" s="63"/>
      <c r="DW27" s="63"/>
      <c r="DX27" s="63"/>
      <c r="DY27" s="63"/>
      <c r="DZ27" s="63"/>
      <c r="EA27" s="63"/>
      <c r="EB27" s="63"/>
      <c r="EC27" s="63"/>
      <c r="ED27" s="63"/>
      <c r="EE27" s="63"/>
    </row>
    <row r="28" spans="1:135" ht="15" customHeight="1" thickBot="1" x14ac:dyDescent="0.35">
      <c r="A28" s="60" t="s">
        <v>196</v>
      </c>
      <c r="B28" s="62"/>
      <c r="C28" s="62"/>
      <c r="D28" s="61"/>
      <c r="E28" s="61"/>
      <c r="F28" s="61"/>
      <c r="G28" s="42">
        <v>52</v>
      </c>
      <c r="H28" s="62"/>
      <c r="I28" s="62"/>
      <c r="J28" s="61"/>
      <c r="K28" s="61"/>
      <c r="L28" s="61"/>
      <c r="M28" s="61">
        <v>46</v>
      </c>
      <c r="N28" s="61">
        <f t="shared" si="0"/>
        <v>98</v>
      </c>
      <c r="O28" s="41"/>
      <c r="P28" s="67">
        <f t="shared" si="1"/>
        <v>98</v>
      </c>
      <c r="Q28" s="67">
        <f t="shared" si="2"/>
        <v>49</v>
      </c>
      <c r="R28" s="67">
        <f t="shared" si="3"/>
        <v>32.666666666666664</v>
      </c>
      <c r="S28" s="67">
        <f t="shared" si="4"/>
        <v>24.5</v>
      </c>
      <c r="T28" s="67">
        <f t="shared" si="5"/>
        <v>19.600000000000001</v>
      </c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3"/>
      <c r="DD28" s="63"/>
      <c r="DE28" s="63"/>
      <c r="DF28" s="63"/>
      <c r="DG28" s="63"/>
      <c r="DH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</row>
    <row r="29" spans="1:135" ht="15" customHeight="1" thickBot="1" x14ac:dyDescent="0.35">
      <c r="A29" s="59" t="s">
        <v>197</v>
      </c>
      <c r="B29" s="62"/>
      <c r="C29" s="62"/>
      <c r="D29" s="61"/>
      <c r="E29" s="61"/>
      <c r="F29" s="61"/>
      <c r="G29" s="42">
        <v>54</v>
      </c>
      <c r="H29" s="62"/>
      <c r="I29" s="62"/>
      <c r="J29" s="61"/>
      <c r="K29" s="61"/>
      <c r="L29" s="61"/>
      <c r="M29" s="61">
        <v>53</v>
      </c>
      <c r="N29" s="61">
        <f t="shared" si="0"/>
        <v>107</v>
      </c>
      <c r="O29" s="41"/>
      <c r="P29" s="67">
        <f t="shared" si="1"/>
        <v>107</v>
      </c>
      <c r="Q29" s="67">
        <f t="shared" si="2"/>
        <v>53.5</v>
      </c>
      <c r="R29" s="67">
        <f t="shared" si="3"/>
        <v>35.666666666666664</v>
      </c>
      <c r="S29" s="67">
        <f t="shared" si="4"/>
        <v>26.75</v>
      </c>
      <c r="T29" s="67">
        <f t="shared" si="5"/>
        <v>21.4</v>
      </c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3"/>
      <c r="DD29" s="63"/>
      <c r="DE29" s="63"/>
      <c r="DF29" s="63"/>
      <c r="DG29" s="63"/>
      <c r="DH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</row>
    <row r="30" spans="1:135" ht="15" customHeight="1" thickBot="1" x14ac:dyDescent="0.35">
      <c r="A30" s="60" t="s">
        <v>198</v>
      </c>
      <c r="B30" s="62"/>
      <c r="C30" s="62"/>
      <c r="D30" s="61"/>
      <c r="E30" s="61"/>
      <c r="F30" s="61"/>
      <c r="G30" s="42">
        <v>28</v>
      </c>
      <c r="H30" s="62"/>
      <c r="I30" s="62"/>
      <c r="J30" s="61"/>
      <c r="K30" s="61"/>
      <c r="L30" s="61"/>
      <c r="M30" s="61">
        <v>30</v>
      </c>
      <c r="N30" s="61">
        <f t="shared" si="0"/>
        <v>58</v>
      </c>
      <c r="O30" s="41"/>
      <c r="P30" s="67">
        <f t="shared" si="1"/>
        <v>58</v>
      </c>
      <c r="Q30" s="67">
        <f t="shared" si="2"/>
        <v>29</v>
      </c>
      <c r="R30" s="67">
        <f t="shared" si="3"/>
        <v>19.333333333333332</v>
      </c>
      <c r="S30" s="67">
        <f t="shared" si="4"/>
        <v>14.5</v>
      </c>
      <c r="T30" s="67">
        <f t="shared" si="5"/>
        <v>11.6</v>
      </c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M30" s="63"/>
      <c r="CN30" s="63"/>
      <c r="CO30" s="63"/>
      <c r="CP30" s="63"/>
      <c r="CQ30" s="63"/>
      <c r="CR30" s="63"/>
      <c r="CS30" s="63"/>
      <c r="CT30" s="63"/>
      <c r="CU30" s="63"/>
      <c r="CV30" s="63"/>
      <c r="CW30" s="63"/>
      <c r="CX30" s="63"/>
      <c r="CY30" s="63"/>
      <c r="CZ30" s="63"/>
      <c r="DA30" s="63"/>
      <c r="DB30" s="63"/>
      <c r="DC30" s="63"/>
      <c r="DD30" s="63"/>
      <c r="DE30" s="63"/>
      <c r="DF30" s="63"/>
      <c r="DG30" s="63"/>
      <c r="DH30" s="63"/>
      <c r="DJ30" s="63"/>
      <c r="DK30" s="63"/>
      <c r="DL30" s="63"/>
      <c r="DM30" s="63"/>
      <c r="DN30" s="63"/>
      <c r="DO30" s="63"/>
      <c r="DP30" s="63"/>
      <c r="DQ30" s="63"/>
      <c r="DR30" s="63"/>
      <c r="DS30" s="63"/>
      <c r="DT30" s="63"/>
      <c r="DU30" s="63"/>
      <c r="DV30" s="63"/>
      <c r="DW30" s="63"/>
      <c r="DX30" s="63"/>
      <c r="DY30" s="63"/>
      <c r="DZ30" s="63"/>
      <c r="EA30" s="63"/>
      <c r="EB30" s="63"/>
      <c r="EC30" s="63"/>
      <c r="ED30" s="63"/>
      <c r="EE30" s="63"/>
    </row>
    <row r="31" spans="1:135" ht="15" customHeight="1" thickBot="1" x14ac:dyDescent="0.35">
      <c r="A31" s="60" t="s">
        <v>199</v>
      </c>
      <c r="B31" s="62"/>
      <c r="C31" s="62"/>
      <c r="D31" s="61"/>
      <c r="E31" s="61"/>
      <c r="F31" s="61"/>
      <c r="G31" s="42">
        <v>50</v>
      </c>
      <c r="H31" s="62"/>
      <c r="I31" s="62"/>
      <c r="J31" s="61"/>
      <c r="K31" s="61"/>
      <c r="L31" s="61"/>
      <c r="M31" s="61">
        <v>51</v>
      </c>
      <c r="N31" s="61">
        <f t="shared" si="0"/>
        <v>101</v>
      </c>
      <c r="O31" s="41"/>
      <c r="P31" s="67">
        <f t="shared" si="1"/>
        <v>101</v>
      </c>
      <c r="Q31" s="67">
        <f t="shared" si="2"/>
        <v>50.5</v>
      </c>
      <c r="R31" s="67">
        <f t="shared" si="3"/>
        <v>33.666666666666664</v>
      </c>
      <c r="S31" s="67">
        <f t="shared" si="4"/>
        <v>25.25</v>
      </c>
      <c r="T31" s="67">
        <f t="shared" si="5"/>
        <v>20.2</v>
      </c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</row>
    <row r="32" spans="1:135" ht="15" customHeight="1" thickBot="1" x14ac:dyDescent="0.35">
      <c r="A32" s="60" t="s">
        <v>200</v>
      </c>
      <c r="B32" s="62"/>
      <c r="C32" s="62"/>
      <c r="D32" s="61"/>
      <c r="E32" s="61"/>
      <c r="F32" s="61"/>
      <c r="G32" s="42">
        <v>58</v>
      </c>
      <c r="H32" s="62"/>
      <c r="I32" s="62"/>
      <c r="J32" s="61"/>
      <c r="K32" s="61"/>
      <c r="L32" s="61"/>
      <c r="M32" s="61">
        <v>54</v>
      </c>
      <c r="N32" s="61">
        <f t="shared" si="0"/>
        <v>112</v>
      </c>
      <c r="O32" s="41"/>
      <c r="P32" s="67">
        <f t="shared" si="1"/>
        <v>112</v>
      </c>
      <c r="Q32" s="67">
        <f t="shared" si="2"/>
        <v>56</v>
      </c>
      <c r="R32" s="67">
        <f t="shared" si="3"/>
        <v>37.333333333333336</v>
      </c>
      <c r="S32" s="67">
        <f t="shared" si="4"/>
        <v>28</v>
      </c>
      <c r="T32" s="67">
        <f t="shared" si="5"/>
        <v>22.4</v>
      </c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3"/>
      <c r="DD32" s="63"/>
      <c r="DE32" s="63"/>
      <c r="DF32" s="63"/>
      <c r="DG32" s="63"/>
      <c r="DH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</row>
    <row r="33" spans="1:135" ht="15" customHeight="1" thickBot="1" x14ac:dyDescent="0.35">
      <c r="A33" s="60" t="s">
        <v>201</v>
      </c>
      <c r="B33" s="62"/>
      <c r="C33" s="62"/>
      <c r="D33" s="61"/>
      <c r="E33" s="61"/>
      <c r="F33" s="61"/>
      <c r="G33" s="42">
        <v>48</v>
      </c>
      <c r="H33" s="62"/>
      <c r="I33" s="62"/>
      <c r="J33" s="61"/>
      <c r="K33" s="61"/>
      <c r="L33" s="61"/>
      <c r="M33" s="61">
        <v>76</v>
      </c>
      <c r="N33" s="61">
        <f t="shared" si="0"/>
        <v>124</v>
      </c>
      <c r="O33" s="41"/>
      <c r="P33" s="67">
        <f t="shared" si="1"/>
        <v>124</v>
      </c>
      <c r="Q33" s="67">
        <f t="shared" si="2"/>
        <v>62</v>
      </c>
      <c r="R33" s="67">
        <f t="shared" si="3"/>
        <v>41.333333333333336</v>
      </c>
      <c r="S33" s="67">
        <f t="shared" si="4"/>
        <v>31</v>
      </c>
      <c r="T33" s="67">
        <f t="shared" si="5"/>
        <v>24.8</v>
      </c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3"/>
      <c r="DD33" s="63"/>
      <c r="DE33" s="63"/>
      <c r="DF33" s="63"/>
      <c r="DG33" s="63"/>
      <c r="DH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</row>
    <row r="34" spans="1:135" ht="15" customHeight="1" thickBot="1" x14ac:dyDescent="0.35">
      <c r="A34" s="60" t="s">
        <v>202</v>
      </c>
      <c r="B34" s="62"/>
      <c r="C34" s="62"/>
      <c r="D34" s="61"/>
      <c r="E34" s="61"/>
      <c r="F34" s="61"/>
      <c r="G34" s="42">
        <v>82</v>
      </c>
      <c r="H34" s="62"/>
      <c r="I34" s="62"/>
      <c r="J34" s="61"/>
      <c r="K34" s="61"/>
      <c r="L34" s="61"/>
      <c r="M34" s="61">
        <v>62</v>
      </c>
      <c r="N34" s="61">
        <f t="shared" si="0"/>
        <v>144</v>
      </c>
      <c r="O34" s="41"/>
      <c r="P34" s="67">
        <f t="shared" si="1"/>
        <v>144</v>
      </c>
      <c r="Q34" s="67">
        <f t="shared" si="2"/>
        <v>72</v>
      </c>
      <c r="R34" s="67">
        <f t="shared" si="3"/>
        <v>48</v>
      </c>
      <c r="S34" s="67">
        <f t="shared" si="4"/>
        <v>36</v>
      </c>
      <c r="T34" s="67">
        <f t="shared" si="5"/>
        <v>28.8</v>
      </c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</row>
    <row r="35" spans="1:135" x14ac:dyDescent="0.3">
      <c r="G35" s="43">
        <f>SUM(G5:G34)</f>
        <v>2164</v>
      </c>
      <c r="H35" s="43"/>
      <c r="I35" s="43"/>
      <c r="J35" s="43"/>
      <c r="K35" s="43"/>
      <c r="L35" s="43"/>
      <c r="M35" s="43">
        <f t="shared" ref="M35" si="6">SUM(M5:M34)</f>
        <v>2056</v>
      </c>
      <c r="N35" s="64">
        <f>G35+M35</f>
        <v>4220</v>
      </c>
      <c r="O35" s="43"/>
      <c r="P35" s="43"/>
      <c r="Q35" s="43"/>
      <c r="R35" s="43"/>
      <c r="S35" s="43"/>
      <c r="T35" s="43"/>
    </row>
  </sheetData>
  <mergeCells count="29">
    <mergeCell ref="E1:E3"/>
    <mergeCell ref="D1:D3"/>
    <mergeCell ref="C1:C3"/>
    <mergeCell ref="V2:AQ2"/>
    <mergeCell ref="B1:B3"/>
    <mergeCell ref="J1:J3"/>
    <mergeCell ref="K1:K3"/>
    <mergeCell ref="L1:L3"/>
    <mergeCell ref="T3:T4"/>
    <mergeCell ref="F1:F3"/>
    <mergeCell ref="H1:H3"/>
    <mergeCell ref="I1:I3"/>
    <mergeCell ref="V1:AQ1"/>
    <mergeCell ref="Q3:Q4"/>
    <mergeCell ref="R3:R4"/>
    <mergeCell ref="S3:S4"/>
    <mergeCell ref="DJ1:EE1"/>
    <mergeCell ref="DJ2:EE2"/>
    <mergeCell ref="G1:G4"/>
    <mergeCell ref="M1:M4"/>
    <mergeCell ref="N1:N4"/>
    <mergeCell ref="P1:T2"/>
    <mergeCell ref="P3:P4"/>
    <mergeCell ref="AS1:BN1"/>
    <mergeCell ref="AS2:BN2"/>
    <mergeCell ref="BP1:CK1"/>
    <mergeCell ref="BP2:CK2"/>
    <mergeCell ref="CM1:DH1"/>
    <mergeCell ref="CM2:D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Réponses au formulaire 1</vt:lpstr>
      <vt:lpstr>Flux par demie journée</vt:lpstr>
      <vt:lpstr>Feuil1</vt:lpstr>
      <vt:lpstr>'Flux par demie journée'!Zone_d_impression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jravat</dc:creator>
  <cp:lastModifiedBy>Administrateur</cp:lastModifiedBy>
  <cp:lastPrinted>2025-12-12T07:53:39Z</cp:lastPrinted>
  <dcterms:created xsi:type="dcterms:W3CDTF">2025-12-12T07:54:09Z</dcterms:created>
  <dcterms:modified xsi:type="dcterms:W3CDTF">2026-01-06T17:31:44Z</dcterms:modified>
</cp:coreProperties>
</file>